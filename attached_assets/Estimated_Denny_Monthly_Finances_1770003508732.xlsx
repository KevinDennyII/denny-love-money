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thly Savings" sheetId="1" r:id="rId5"/>
    <sheet state="visible" name="Jamie " sheetId="2" r:id="rId6"/>
    <sheet state="visible" name="Monthly Expenses " sheetId="3" r:id="rId7"/>
    <sheet state="visible" name="Debt Owed Breakdown" sheetId="4" r:id="rId8"/>
    <sheet state="visible" name="Monthly Debt Owed Payments" sheetId="5" r:id="rId9"/>
    <sheet state="visible" name="Medical Bills" sheetId="6" r:id="rId10"/>
    <sheet state="visible" name="HSA Paybacks" sheetId="7" r:id="rId11"/>
    <sheet state="visible" name="Current Networth"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tc={0476fa17-d03f-476d-85ee-8e98669cb59e}</author>
    <author>tc={06f1b4d1-694e-47e7-9269-6fae9404af29}</author>
    <author>tc={0de162aa-c00f-48ab-aafd-d985bf8f7d9e}</author>
    <author>tc={101cdd2a-1cd8-42f9-b904-b80256ec54b4}</author>
    <author>tc={102b5037-b1ad-4b78-b0fd-fab500bb3c7b}</author>
    <author>tc={12452944-4ac6-4e2a-b9c7-c6ccefc21174}</author>
    <author>tc={1d679a70-58b9-447c-b7dd-74b6e49bf093}</author>
    <author>tc={24fd7c3a-1325-4d8b-9137-0f3d536b89f2}</author>
    <author>tc={292067a9-67aa-464c-996e-1e0540bc10d0}</author>
    <author>tc={386fa631-7011-4bed-bcf4-e045f7ac3a74}</author>
    <author>tc={39fd7bee-976b-4a0c-bf9f-3bb1f06f95a2}</author>
    <author>tc={3a548569-36f7-416b-813d-992d7f698c1c}</author>
    <author>tc={3ea6622e-5e42-4270-a422-1e3f6b068f13}</author>
    <author>tc={3edbbc41-15d1-4c82-ab87-081571c971f5}</author>
    <author>tc={49bc416d-33af-4b2f-af6f-b90300299ea4}</author>
    <author>tc={4e8ceff9-ed27-4d87-bd43-707c80a62373}</author>
    <author>tc={5e7d598b-7b98-46da-b0e8-f975c199fd12}</author>
    <author>tc={61d44bb2-4907-4bb3-a03b-0861be98e184}</author>
    <author>tc={623d6789-be5e-444d-b652-4b9772d7fd53}</author>
    <author>tc={6494cf98-d596-4754-8e97-63d0200b59c2}</author>
    <author>tc={67079bc4-01b3-4018-b56e-36ee8f64c84e}</author>
    <author>tc={68865318-4130-4ca8-894c-f236ae56ec84}</author>
    <author>tc={6f86184f-2bf6-420c-bc90-fafef3314298}</author>
    <author>tc={711f8a8b-edb9-463b-855e-dfdce69aa9a8}</author>
    <author>tc={728db531-7eff-47b9-af9e-d97777fb2834}</author>
    <author>tc={76226d6a-5163-4395-9b11-726808148081}</author>
    <author>tc={795460f9-3bfa-4a28-9710-93748f764b3a}</author>
    <author>tc={79b9b950-1281-4f6f-8214-fe68ff3fbc0d}</author>
    <author>tc={7b0a8bd1-b427-4ae8-9d6a-8c2c78e1b144}</author>
    <author>tc={7b7017e0-4ec5-4839-b733-eac15a286e98}</author>
    <author>tc={7f0a9854-5086-4db2-8b52-79ababffd0d9}</author>
    <author>tc={806946d9-7172-432d-971b-3793f1fe1c3a}</author>
    <author>tc={8106be84-03cf-4a12-a682-aef171255460}</author>
    <author>tc={8b7ec014-89b4-43ee-9224-49ed2ed8f0de}</author>
    <author>tc={8ce5dd8f-12e2-430f-9050-238f53ffdf98}</author>
    <author>tc={934ed959-8020-4b43-bc04-0dc9cfa91bd3}</author>
    <author>tc={9487a276-3095-4563-8980-930a5ebc465c}</author>
    <author>tc={a269d18e-0af5-4aaf-b646-c3eff1ec38f7}</author>
    <author>tc={a2dc3379-e686-4848-b543-a45e95fb0eb0}</author>
    <author>tc={a425cdfb-5f1c-45ec-8f8e-4084f978c82d}</author>
    <author>tc={a4a05c0b-b270-4e2e-bdfc-c60d7ad94165}</author>
    <author>tc={a74dd6c3-9517-403c-9af2-e57c964f2c15}</author>
    <author>tc={ad6876ec-7dd5-4060-89eb-914993b86925}</author>
    <author>tc={ae4640c8-9765-4c1a-a986-914b94136e55}</author>
    <author>tc={b75cea7c-4730-4c77-a7c8-b5e97f391880}</author>
    <author>tc={c73665ae-24da-4a71-99a0-3394f5a9863c}</author>
    <author>tc={cba16017-5cce-4762-bc69-4b0cf45b9dac}</author>
    <author>tc={d27c5c53-e289-4ed5-b4ac-385a02b87ade}</author>
    <author>tc={daff6c3b-ea2a-4b0c-9d9e-4bde40050c9e}</author>
    <author>tc={dc363243-3866-40ed-a303-a5c2753eea95}</author>
    <author>tc={e74b706d-e895-44c9-b002-68b98d369c14}</author>
    <author>tc={eb5b24d2-e3d4-4a56-8d39-2cf5243e9020}</author>
    <author>tc={eea8be56-d768-49ea-b90d-6a08e266864e}</author>
    <author>tc={eec86c50-6427-452b-b3e4-946292d79bc9}</author>
    <author>tc={f59bb009-770a-4cda-abc0-641cc682e2e7}</author>
  </authors>
  <commentList>
    <comment authorId="0" xr:uid="{0476fa17-d03f-476d-85ee-8e98669cb59e}" ref="A8">
      <text>
        <t xml:space="preserve">[Threaded comment]
 Your version of Excel allows you to read this threaded comment; however, any edits to it will get removed if the file is opened in a newer version of Excel. Learn more: https://go.microsoft.com/fwlink/?linkid=870924
Comment:
	@jsross526@gmail.com I think if you do an additional $600 ($300 every paycheck) from your pay checks every month we will be good to go for our vacations since $600 is already coming from mine.  Yes? :-)
Assigned to jsross526@gmail.com
Reply:
	Marked as done
Reply:
	@jsross526@gmail.com Does "done" mean you are also adding the additional $600 or not?  I did not see this updated
Re-opened
Reply:
	@jsross526@gmail.com I would like suggest again, saving some additional funds to this account as we have plenty of funds coming in based on our total monthly income and expenses.
What do you think?
Reply:
	I'm not sure if that will be possible. As you can see by the few days leading up to next payday there is low funds available. The kids tuition for school increased $284, plus if student loans start as well that is $250. That would be additional $534 a month starting in September
Reply:
	@kevin.denny.ii@gmail.com
Reassigned to kevin.denny.ii@gmail.com
Reply:
	@jsross526@gmail.com then I think we need to update our expenses because as far as I can see, it is extremely possible to add funds to savings and if we are saying we can afford trips, which I most certainly believe we can, then we should be able to save for them.
Even with the tuition going up, we still have funds to save with all our expenses.  
and if we are not needing to adjust our current actual spending then we should reflect that on our expenses and adjust what we are spending the monthly sheet
Reassigned to jsross526@gmail.com
Reply:
	That isn't something I think I can do. When get paid on 1st $1045 I pay automatically...then when get paid 15th pay credit card, pay pal, and now student loans that's 1k plus...
Reply:
	@jsross526@gmail.com these are things I can't see or remember which is why I referred to updating our monthly expenses otherwise I am going to believe we can.  It gives us a true-er view of our finances to make better decisions and plan accordingly
</t>
      </text>
    </comment>
    <comment authorId="1" xr:uid="{06f1b4d1-694e-47e7-9269-6fae9404af29}" ref="A1">
      <text>
        <t xml:space="preserve">[Threaded comment]
 Your version of Excel allows you to read this threaded comment; however, any edits to it will get removed if the file is opened in a newer version of Excel. Learn more: https://go.microsoft.com/fwlink/?linkid=870924
Comment:
	@kevin.denny.ii@gmail.com I"m assuming this is after taxes and what is exactly placed into my account correct?
Assigned to kevin.denny.ii@gmail.com
Reply:
	I get paid the 15th &amp; last business day of the month
Reply:
	I estimate monthly income for me $4,800 (of course this will change once I start contributing to retirement and if we take any insurance)
</t>
      </text>
    </comment>
    <comment authorId="2" xr:uid="{0de162aa-c00f-48ab-aafd-d985bf8f7d9e}" ref="A1">
      <text>
        <t xml:space="preserve">[Threaded comment]
 Your version of Excel allows you to read this threaded comment; however, any edits to it will get removed if the file is opened in a newer version of Excel. Learn more: https://go.microsoft.com/fwlink/?linkid=870924
Comment:
	@this needs to be adjusted
Reply:
	Ok. Adjust it.
Reply:
	I know that note wasn't for  you that is why I didn't @ you
Reply:
	@jsross526@gmail.com and this still has not been adjusted. just trying to keep track since you said at one point it was not enough based on what is spent
</t>
      </text>
    </comment>
    <comment authorId="3" xr:uid="{101cdd2a-1cd8-42f9-b904-b80256ec54b4}" ref="A1">
      <text>
        <t xml:space="preserve">[Threaded comment]
 Your version of Excel allows you to read this threaded comment; however, any edits to it will get removed if the file is opened in a newer version of Excel. Learn more: https://go.microsoft.com/fwlink/?linkid=870924
Comment:
	Which Account is Jamie's Account? @jsross526@gmail.com
</t>
      </text>
    </comment>
    <comment authorId="4" xr:uid="{102b5037-b1ad-4b78-b0fd-fab500bb3c7b}" ref="A1">
      <text>
        <t xml:space="preserve">[Threaded comment]
 Your version of Excel allows you to read this threaded comment; however, any edits to it will get removed if the file is opened in a newer version of Excel. Learn more: https://go.microsoft.com/fwlink/?linkid=870924
Comment:
	3/31: bill is still in process with insurance, no payments are being made at this time
</t>
      </text>
    </comment>
    <comment authorId="5" xr:uid="{12452944-4ac6-4e2a-b9c7-c6ccefc21174}" ref="A1">
      <text>
        <t xml:space="preserve">[Threaded comment]
 Your version of Excel allows you to read this threaded comment; however, any edits to it will get removed if the file is opened in a newer version of Excel. Learn more: https://go.microsoft.com/fwlink/?linkid=870924
Comment:
	@jsross526@gmail.com so i missed about $400 dollars of the immediate expenses you pay from your checking account unless I need to include the budgeted diapers and groceries.  Also, in the last 120 days (or 4 months) you paid a total of $3624 on your 2 Visa Credit Cards combined. Something is not adding up as our total debt increated by $21,000 since February (See 'Monthly Credit Card Payment' sheet).
Assigned to jsross526@gmail.com
</t>
      </text>
    </comment>
    <comment authorId="6" xr:uid="{1d679a70-58b9-447c-b7dd-74b6e49bf093}" ref="A1">
      <text>
        <t xml:space="preserve">[Threaded comment]
 Your version of Excel allows you to read this threaded comment; however, any edits to it will get removed if the file is opened in a newer version of Excel. Learn more: https://go.microsoft.com/fwlink/?linkid=870924
Comment:
	What is an "ongoing" balance?  I see a total amount  for this expense so "ongoing" is very confusing unless we don't know or don't have access to our remaining balance based on the monthly payment @jsross526@gmail.com
Assigned to jsross526@gmail.com
Reply:
	I put ongoing because this bill will not be paid for 2 years based on $116 monthly payment instead of keep updating it
</t>
      </text>
    </comment>
    <comment authorId="7" xr:uid="{24fd7c3a-1325-4d8b-9137-0f3d536b89f2}" ref="A1">
      <text>
        <t xml:space="preserve">[Threaded comment]
 Your version of Excel allows you to read this threaded comment; however, any edits to it will get removed if the file is opened in a newer version of Excel. Learn more: https://go.microsoft.com/fwlink/?linkid=870924
Comment:
	Why is this not considered a Monthly Bill? @jsross526@gmail.com
</t>
      </text>
    </comment>
    <comment authorId="8" xr:uid="{292067a9-67aa-464c-996e-1e0540bc10d0}" ref="A1">
      <text>
        <t xml:space="preserve">[Threaded comment]
 Your version of Excel allows you to read this threaded comment; however, any edits to it will get removed if the file is opened in a newer version of Excel. Learn more: https://go.microsoft.com/fwlink/?linkid=870924
Comment:
	@kevin.denny.ii@gmail.com ; we will have to start first payment for RCBA their payment schedule is July-May $1424.60. They do require new student enrollment fees
Assigned to kevin.denny.ii@gmail.com
Reply:
	would you update this for the summer? I dont remember the exact amount you stated
A separate line item is added for Believers Academy
Reply:
	@jsross526@gmail.com can you please update this?
Reassigned to jsross526@gmail.com
</t>
      </text>
    </comment>
    <comment authorId="9" xr:uid="{386fa631-7011-4bed-bcf4-e045f7ac3a74}" ref="A1">
      <text>
        <t xml:space="preserve">[Threaded comment]
 Your version of Excel allows you to read this threaded comment; however, any edits to it will get removed if the file is opened in a newer version of Excel. Learn more: https://go.microsoft.com/fwlink/?linkid=870924
Comment:
	@kevin.denny.ii@gmail.com this will need to be paid outside of HSA for month of May
Assigned to kevin.denny.ii@gmail.com
</t>
      </text>
    </comment>
    <comment authorId="10" xr:uid="{39fd7bee-976b-4a0c-bf9f-3bb1f06f95a2}" ref="A1">
      <text>
        <t xml:space="preserve">[Threaded comment]
 Your version of Excel allows you to read this threaded comment; however, any edits to it will get removed if the file is opened in a newer version of Excel. Learn more: https://go.microsoft.com/fwlink/?linkid=870924
Comment:
	@jsross526@gmail.com is there any contact information or login for this?
Assigned to jsross526@gmail.com
Reply:
	The patient number is the log in information
Reply:
	@jsross526@gmail.com what website am I logging into?  Notice how I provided the actual website for you to log into in whatever notes I have provided, if one was provided.  No guess work for you.  I was just hopping for information that anyone of us could easily make payments on behalf of the other if necessary.
</t>
      </text>
    </comment>
    <comment authorId="11" xr:uid="{3a548569-36f7-416b-813d-992d7f698c1c}" ref="A1">
      <text>
        <t xml:space="preserve">[Threaded comment]
 Your version of Excel allows you to read this threaded comment; however, any edits to it will get removed if the file is opened in a newer version of Excel. Learn more: https://go.microsoft.com/fwlink/?linkid=870924
Comment:
	@jsross526@gmail.com I updated expenses, total income, and the amount after expenses on here. You can add on here very easily but going to "Insert" then "Row Below" and it will automatically do the calculation for you :-)
There is also another sheet with what expenses are paid for with our Credit Cards
Assigned to jsross526@gmail.com
Reply:
	Marked as done
Reply:
	Your numbers are incorrect. Your amount deposits into you account on last
month was $4460. Not sure where you getting these numbers from???
Re-opened
Reply:
	Check email for Dec 1 Paycheck
</t>
      </text>
    </comment>
    <comment authorId="12" xr:uid="{3ea6622e-5e42-4270-a422-1e3f6b068f13}" ref="A1">
      <text>
        <t xml:space="preserve">[Threaded comment]
 Your version of Excel allows you to read this threaded comment; however, any edits to it will get removed if the file is opened in a newer version of Excel. Learn more: https://go.microsoft.com/fwlink/?linkid=870924
Comment:
	This is from the recommendations of Dave Ramsey to remove all of your debt.  Removing debt would be wise to make our first and top priority @jsross526@gmail.com
</t>
      </text>
    </comment>
    <comment authorId="13" xr:uid="{3edbbc41-15d1-4c82-ab87-081571c971f5}" ref="A1">
      <text>
        <t xml:space="preserve">[Threaded comment]
 Your version of Excel allows you to read this threaded comment; however, any edits to it will get removed if the file is opened in a newer version of Excel. Learn more: https://go.microsoft.com/fwlink/?linkid=870924
Comment:
	I understand that you want to separate where money comes from.  It alllows us to keep track of what money is coming from which account. That was part of my goal in the use of Prepaid Cards. My idea was for the Family Checking account to be the main account but you request to have funds going into your USAA account for paying bills and groceries as well.  This made it a bit difficult to accomplish just using our cash and accounting for it from one central place. That is cash we can easily account for and control.  It also builds discipline in understanding you cant just continuously swipe with the luxury of borrowing money in hopes that you will put it back, which factually has not worked for us in the last 5 years otherwise our debt would either remained unchanged or would have been decreasing. @jsross526@gmail.com
</t>
      </text>
    </comment>
    <comment authorId="14" xr:uid="{49bc416d-33af-4b2f-af6f-b90300299ea4}" ref="A1">
      <text>
        <t xml:space="preserve">[Threaded comment]
 Your version of Excel allows you to read this threaded comment; however, any edits to it will get removed if the file is opened in a newer version of Excel. Learn more: https://go.microsoft.com/fwlink/?linkid=870924
Comment:
	@jsross526@gmail.com you probably will be against this but i was thinking we make this account your allowance account for $200/month to spend solely for you and we use the Family account for both of our incomes
</t>
      </text>
    </comment>
    <comment authorId="15" xr:uid="{4e8ceff9-ed27-4d87-bd43-707c80a62373}" ref="A1">
      <text>
        <t xml:space="preserve">[Threaded comment]
 Your version of Excel allows you to read this threaded comment; however, any edits to it will get removed if the file is opened in a newer version of Excel. Learn more: https://go.microsoft.com/fwlink/?linkid=870924
Comment:
	@jsross526@gmail.com Can you please update this? Ms. Lori Anne said she was paid but I dont know how. I dont see any amounts being withdrawn for this and I just gave this a random estimate and did not really calculate base on days and hours we expect
Assigned to jsross526@gmail.com
</t>
      </text>
    </comment>
    <comment authorId="16" xr:uid="{5e7d598b-7b98-46da-b0e8-f975c199fd12}" ref="A1">
      <text>
        <t xml:space="preserve">[Threaded comment]
 Your version of Excel allows you to read this threaded comment; however, any edits to it will get removed if the file is opened in a newer version of Excel. Learn more: https://go.microsoft.com/fwlink/?linkid=870924
Comment:
	@kevin.denny.ii@gmail.com all medical bills have been updated. Will you cancel this auto pay.
Assigned to kevin.denny.ii@gmail.com
Reply:
	This unfortunately cannot be cancelled a payment has to be made for it to not be reported and go into deeper collections and be delequent so I opted for the lowest monthly payment which is $15/month
Reply:
	@kevin.denny.ii@gmail.com well the HSA card is cancelled so need to put a new form of payment
Reply:
	There is a back but I did not realize the HSA card was cancelled.
Reply:
	Yes that card we can no longer use
</t>
      </text>
    </comment>
    <comment authorId="17" xr:uid="{61d44bb2-4907-4bb3-a03b-0861be98e184}" ref="A8">
      <text>
        <t xml:space="preserve">[Threaded comment]
 Your version of Excel allows you to read this threaded comment; however, any edits to it will get removed if the file is opened in a newer version of Excel. Learn more: https://go.microsoft.com/fwlink/?linkid=870924
Comment:
	@jsross526@gmail.com temporarily suspending our $400 a month in savings to put towards the $650 every two weeks in savings.  I am only making minimal payments on my credit card.  Please continue to pay on your credit card as you have been.  I made this decision quickly as I was looking at our cash flow otherwise we would have been spending well beyond our means. That is the only reason I quickly did this... If you are not Ok with this and/or also have another solution please let me know
Assigned to jsross526@gmail.com
</t>
      </text>
    </comment>
    <comment authorId="18" xr:uid="{623d6789-be5e-444d-b652-4b9772d7fd53}" ref="A1">
      <text>
        <t xml:space="preserve">[Threaded comment]
 Your version of Excel allows you to read this threaded comment; however, any edits to it will get removed if the file is opened in a newer version of Excel. Learn more: https://go.microsoft.com/fwlink/?linkid=870924
Comment:
	"OhhDenny" - Jamie Denny.  This is partly for OhhDenny Services and also for continuing education.  This is a tool use for coding and creating programs, websites, and apps. @jsross526@gmail.com
</t>
      </text>
    </comment>
    <comment authorId="19" xr:uid="{6494cf98-d596-4754-8e97-63d0200b59c2}" ref="A1">
      <text>
        <t xml:space="preserve">[Threaded comment]
 Your version of Excel allows you to read this threaded comment; however, any edits to it will get removed if the file is opened in a newer version of Excel. Learn more: https://go.microsoft.com/fwlink/?linkid=870924
Comment:
	Also we need to pay Nikki her remaining balance of $600 and $250 for placenta encapsulation by end of October.
Reply:
	Thanks for making sure Nikki gets paid.  She deserves EVERY pretty penny.  As stated before, $800 goes into our account on15th (or second pay period) and if it is believed this was not stated, the $800 can be seen on the transactions activity happening on that account.
</t>
      </text>
    </comment>
    <comment authorId="20" xr:uid="{67079bc4-01b3-4018-b56e-36ee8f64c84e}" ref="A1">
      <text>
        <t xml:space="preserve">[Threaded comment]
 Your version of Excel allows you to read this threaded comment; however, any edits to it will get removed if the file is opened in a newer version of Excel. Learn more: https://go.microsoft.com/fwlink/?linkid=870924
Comment:
	Updated @jsross526@gmail.com
Reply:
	@jsross526@gmail.com I am recommending we remove the saving of $100 to our 3-6 months savings and make it towards payments on the Amex. Since we are saving that with irs refunds and covid-19 stimulus we could potentially really start making a slow rolling snowball in attacking debt
What are your thoughts?
Reply:
	Not understanding what you are asking?
Reply:
	I'm asking for your thoughts...
Reply:
	No mean not understanding what you are proposing
Reply:
	Using the $100/monthly dollars to put towards the Amex instead of savings since we are gonna have a built up 3-6 month funds from the IRS refund and COVID-19 stimulus
</t>
      </text>
    </comment>
    <comment authorId="21" xr:uid="{68865318-4130-4ca8-894c-f236ae56ec84}" ref="A1">
      <text>
        <t xml:space="preserve">[Threaded comment]
 Your version of Excel allows you to read this threaded comment; however, any edits to it will get removed if the file is opened in a newer version of Excel. Learn more: https://go.microsoft.com/fwlink/?linkid=870924
Comment:
	@jsross526@gmail.com updated amount for Preschool and MDO has been removed
</t>
      </text>
    </comment>
    <comment authorId="22" xr:uid="{6f86184f-2bf6-420c-bc90-fafef3314298}" ref="A1">
      <text>
        <t xml:space="preserve">[Threaded comment]
 Your version of Excel allows you to read this threaded comment; however, any edits to it will get removed if the file is opened in a newer version of Excel. Learn more: https://go.microsoft.com/fwlink/?linkid=870924
Comment:
	"II never had this so it was going on my CC" -Jamie Denny.   I disciplined my self to only use the amount give which mean all the month left back in the USAA account was for you use but when this was created you stated you wanted money to go into your account.  This is why i stated consistently there was always money left in the Family USAA account and you can see all the money that was assigned to me for use every month. So there was consistently money left ever because you did not want to go in and use as I consistently stated it was there and it was. @jsross526@gmail.com
</t>
      </text>
    </comment>
    <comment authorId="23" xr:uid="{711f8a8b-edb9-463b-855e-dfdce69aa9a8}" ref="A1">
      <text>
        <t xml:space="preserve">[Threaded comment]
 Your version of Excel allows you to read this threaded comment; however, any edits to it will get removed if the file is opened in a newer version of Excel. Learn more: https://go.microsoft.com/fwlink/?linkid=870924
Comment:
	@jsross526@gmail.com I am assuming this something you really just don't want to do and use because it hasn't been followed and I have no idea how to keep account of how you are using your checking and wanting to use the shared family account.    My $200/month remains the same until I share otherwise.
Assigned to jsross526@gmail.com
Reply:
	You stated to do $100 so that was what I was doing. I just left $500 this pay as to what I will use when I go to Vegas next week
Reply:
	$100 per paycheck yes, but I had not seen that happening really but if this something you re cool with then I'll keep track. And put the $200/month back
</t>
      </text>
    </comment>
    <comment authorId="24" xr:uid="{728db531-7eff-47b9-af9e-d97777fb2834}" ref="A1">
      <text>
        <t xml:space="preserve">[Threaded comment]
 Your version of Excel allows you to read this threaded comment; however, any edits to it will get removed if the file is opened in a newer version of Excel. Learn more: https://go.microsoft.com/fwlink/?linkid=870924
Comment:
	@kevin.denny.ii@gmail.com , I'm putting this here for my record. It is easier for me to remember to note on this page than to go to Keep. Of bills/prescriptions/co-pays I've paid outside of the HSA
Assigned to kevin.denny.ii@gmail.com
Reply:
	@jsross526@gmail.com Ok I can move all of our records for "HSA Payback" Google Sheet off Keep and create on this Google Sheet
Reassigned to jsross526@gmail.com
Reply:
	@jsross526@gmail.com https://docs.google.com/spreadsheets/d/1Ck1L5l2cIhkhWrxnvq0OqDI4QIDDkgAh20yMzQKwPms/edit#gid=77657340
</t>
      </text>
    </comment>
    <comment authorId="25" xr:uid="{76226d6a-5163-4395-9b11-726808148081}" ref="A1">
      <text>
        <t xml:space="preserve">[Threaded comment]
 Your version of Excel allows you to read this threaded comment; however, any edits to it will get removed if the file is opened in a newer version of Excel. Learn more: https://go.microsoft.com/fwlink/?linkid=870924
Comment:
	Paid $100 on 11/7/21
</t>
      </text>
    </comment>
    <comment authorId="26" xr:uid="{795460f9-3bfa-4a28-9710-93748f764b3a}" ref="A1">
      <text>
        <t xml:space="preserve">[Threaded comment]
 Your version of Excel allows you to read this threaded comment; however, any edits to it will get removed if the file is opened in a newer version of Excel. Learn more: https://go.microsoft.com/fwlink/?linkid=870924
Comment:
	@jsross526@gmail.com what dos "0" mean?
Assigned to jsross526@gmail.com
Reply:
	That information got deleted by mistake; will update
</t>
      </text>
    </comment>
    <comment authorId="27" xr:uid="{79b9b950-1281-4f6f-8214-fe68ff3fbc0d}" ref="A1">
      <text>
        <t xml:space="preserve">[Threaded comment]
 Your version of Excel allows you to read this threaded comment; however, any edits to it will get removed if the file is opened in a newer version of Excel. Learn more: https://go.microsoft.com/fwlink/?linkid=870924
Comment:
	Why is this separated in separate accounts? @jsross526@gmail.com
</t>
      </text>
    </comment>
    <comment authorId="28" xr:uid="{7b0a8bd1-b427-4ae8-9d6a-8c2c78e1b144}" ref="A1">
      <text>
        <t xml:space="preserve">[Threaded comment]
 Your version of Excel allows you to read this threaded comment; however, any edits to it will get removed if the file is opened in a newer version of Excel. Learn more: https://go.microsoft.com/fwlink/?linkid=870924
Comment:
	3/31: still in process with insurance
</t>
      </text>
    </comment>
    <comment authorId="29" xr:uid="{7b7017e0-4ec5-4839-b733-eac15a286e98}" ref="A13">
      <text>
        <t xml:space="preserve">[Threaded comment]
 Your version of Excel allows you to read this threaded comment; however, any edits to it will get removed if the file is opened in a newer version of Excel. Learn more: https://go.microsoft.com/fwlink/?linkid=870924
Comment:
	@jsross526@gmail.com I would start putting money in your Roth now as much as you feel comfortable with per month
Assigned to jsross526@gmail.com
</t>
      </text>
    </comment>
    <comment authorId="30" xr:uid="{7f0a9854-5086-4db2-8b52-79ababffd0d9}" ref="A1">
      <text>
        <t xml:space="preserve">[Threaded comment]
 Your version of Excel allows you to read this threaded comment; however, any edits to it will get removed if the file is opened in a newer version of Excel. Learn more: https://go.microsoft.com/fwlink/?linkid=870924
Comment:
	@jsross526@gmail.com can you update this please?
Assigned to jsross526@gmail.com
</t>
      </text>
    </comment>
    <comment authorId="31" xr:uid="{806946d9-7172-432d-971b-3793f1fe1c3a}" ref="A1">
      <text>
        <t xml:space="preserve">[Threaded comment]
 Your version of Excel allows you to read this threaded comment; however, any edits to it will get removed if the file is opened in a newer version of Excel. Learn more: https://go.microsoft.com/fwlink/?linkid=870924
Comment:
	make payment with new HSA card
</t>
      </text>
    </comment>
    <comment authorId="32" xr:uid="{8106be84-03cf-4a12-a682-aef171255460}" ref="A1">
      <text>
        <t xml:space="preserve">[Threaded comment]
 Your version of Excel allows you to read this threaded comment; however, any edits to it will get removed if the file is opened in a newer version of Excel. Learn more: https://go.microsoft.com/fwlink/?linkid=870924
Comment:
	waiting for insurance to update claim
</t>
      </text>
    </comment>
    <comment authorId="33" xr:uid="{8b7ec014-89b4-43ee-9224-49ed2ed8f0de}" ref="A1">
      <text>
        <t xml:space="preserve">[Threaded comment]
 Your version of Excel allows you to read this threaded comment; however, any edits to it will get removed if the file is opened in a newer version of Excel. Learn more: https://go.microsoft.com/fwlink/?linkid=870924
Comment:
	@jsross526@gmail.com what does the "x" and red color represent here?  No notes or anything were left
Assigned to jsross526@gmail.com
Reply:
	That was my note, I can remove once I update all the card; that was my way of knowing which payments were made and which were not; red boxes are the ones that did not get paid in October for some reason; I need to call. Have not done yet; once I reconcile I will removed red &amp; x's
</t>
      </text>
    </comment>
    <comment authorId="34" xr:uid="{8ce5dd8f-12e2-430f-9050-238f53ffdf98}" ref="A1">
      <text>
        <t xml:space="preserve">[Threaded comment]
 Your version of Excel allows you to read this threaded comment; however, any edits to it will get removed if the file is opened in a newer version of Excel. Learn more: https://go.microsoft.com/fwlink/?linkid=870924
Comment:
	Updated @jsross526@gmail.com
</t>
      </text>
    </comment>
    <comment authorId="35" xr:uid="{934ed959-8020-4b43-bc04-0dc9cfa91bd3}" ref="A1">
      <text>
        <t xml:space="preserve">[Threaded comment]
 Your version of Excel allows you to read this threaded comment; however, any edits to it will get removed if the file is opened in a newer version of Excel. Learn more: https://go.microsoft.com/fwlink/?linkid=870924
Comment:
	@jsross526@gmail.com I saw that you updated this amount to $25.  That is not what we are paying nor do you see that when logging in.  
https://www.personapay.com/CTH01/account-summary
Is there something I am missing here?
Assigned to jsross526@gmail.com
Reply:
	I changed it to 25 because that was the amount that was taken based on transaction from HSA CARD
Reply:
	@kevin.denny.ii@gmail.com that is the amount was charged on the card was $25 in July
Reassigned to kevin.denny.ii@gmail.com
Reply:
	@jsross526@gmail.com For this online payment, anytime you initiate a payment plan you must make an initial payment of $25 towards the bill
Reply:
	Access to payment info is noted there, also.
</t>
      </text>
    </comment>
    <comment authorId="36" xr:uid="{9487a276-3095-4563-8980-930a5ebc465c}" ref="A1">
      <text>
        <t xml:space="preserve">[Threaded comment]
 Your version of Excel allows you to read this threaded comment; however, any edits to it will get removed if the file is opened in a newer version of Excel. Learn more: https://go.microsoft.com/fwlink/?linkid=870924
Comment:
	@kevin.denny.ii@gmail.com $92 will be paid out of HSA unless remaining balance can be paid in June
Assigned to kevin.denny.ii@gmail.com
</t>
      </text>
    </comment>
    <comment authorId="37" xr:uid="{a269d18e-0af5-4aaf-b646-c3eff1ec38f7}" ref="A1">
      <text>
        <t xml:space="preserve">[Threaded comment]
 Your version of Excel allows you to read this threaded comment; however, any edits to it will get removed if the file is opened in a newer version of Excel. Learn more: https://go.microsoft.com/fwlink/?linkid=870924
Comment:
	@jsross526@gmail.com whatever you did here removed the calculation of the total amount so I had to add it back.  
What did the color red indicate here?  Is this paid off? 
or is this something we still dont know?
I see the amount remaining has not changed.
Assigned to jsross526@gmail.com
Reply:
	@kevin.denny.ii@gmail.com can please stop undoing what I did; that read box was for me to know I need to call this provider to set up the payment plan. If have question ask; don't just undo stuff.
Reassigned to kevin.denny.ii@gmail.com
Reply:
	@jsross526@gmail.com Yes but then please fix the undoing of what i did as well which is what I was pointing out.  You made a lot of changes and didn't even notice we no longer calculating the monthly amount
Reply:
	And if you are adding color please put notes as to why so i understand what is happening.  In having a document we share, either a comments or notes are helpful
</t>
      </text>
    </comment>
    <comment authorId="38" xr:uid="{a2dc3379-e686-4848-b543-a45e95fb0eb0}" ref="A1">
      <text>
        <t xml:space="preserve">[Threaded comment]
 Your version of Excel allows you to read this threaded comment; however, any edits to it will get removed if the file is opened in a newer version of Excel. Learn more: https://go.microsoft.com/fwlink/?linkid=870924
Comment:
	5/3: spoke with representative  account is still being process; spoke with rep Dominic ID#312918
</t>
      </text>
    </comment>
    <comment authorId="39" xr:uid="{a425cdfb-5f1c-45ec-8f8e-4084f978c82d}" ref="A1">
      <text>
        <t xml:space="preserve">[Threaded comment]
 Your version of Excel allows you to read this threaded comment; however, any edits to it will get removed if the file is opened in a newer version of Excel. Learn more: https://go.microsoft.com/fwlink/?linkid=870924
Comment:
	Why are able to use Credit Cards for payments but not cash on a Prepaid Card? @jsross526@gmail.com
Reply:
	The goal is to build discipline in the use of Credit Cards because we have never had discipline in that use since we have been married and we have not had a year in which our debt did not go up.  Stopping the immediate temporary use of credit cards would be in our best interest to removing debt.
</t>
      </text>
    </comment>
    <comment authorId="40" xr:uid="{a4a05c0b-b270-4e2e-bdfc-c60d7ad94165}" ref="A1">
      <text>
        <t xml:space="preserve">[Threaded comment]
 Your version of Excel allows you to read this threaded comment; however, any edits to it will get removed if the file is opened in a newer version of Excel. Learn more: https://go.microsoft.com/fwlink/?linkid=870924
Comment:
	Why is this separated in separate accounts? @jsross526@gmail.com
</t>
      </text>
    </comment>
    <comment authorId="41" xr:uid="{a74dd6c3-9517-403c-9af2-e57c964f2c15}" ref="A1">
      <text>
        <t xml:space="preserve">[Threaded comment]
 Your version of Excel allows you to read this threaded comment; however, any edits to it will get removed if the file is opened in a newer version of Excel. Learn more: https://go.microsoft.com/fwlink/?linkid=870924
Comment:
	@jsross526@gmail.com this is just something we will have to manually update (i.e. no excel formulas), very similar to how we capture our credit card debt and manually updated it
Assigned to jsross526@gmail.com
</t>
      </text>
    </comment>
    <comment authorId="42" xr:uid="{ad6876ec-7dd5-4060-89eb-914993b86925}" ref="A1">
      <text>
        <t xml:space="preserve">[Threaded comment]
 Your version of Excel allows you to read this threaded comment; however, any edits to it will get removed if the file is opened in a newer version of Excel. Learn more: https://go.microsoft.com/fwlink/?linkid=870924
Comment:
	11/10: Spoke with Raven waiting for bill to be finalized. No payment due at this time. Account is on hold
Reply:
	ok
</t>
      </text>
    </comment>
    <comment authorId="43" xr:uid="{ae4640c8-9765-4c1a-a986-914b94136e55}" ref="A1">
      <text>
        <t xml:space="preserve">[Threaded comment]
 Your version of Excel allows you to read this threaded comment; however, any edits to it will get removed if the file is opened in a newer version of Excel. Learn more: https://go.microsoft.com/fwlink/?linkid=870924
Comment:
	What is are these savings for and which savings accounts? @jsross526@gmail.com
</t>
      </text>
    </comment>
    <comment authorId="44" xr:uid="{b75cea7c-4730-4c77-a7c8-b5e97f391880}" ref="A1">
      <text>
        <t xml:space="preserve">[Threaded comment]
 Your version of Excel allows you to read this threaded comment; however, any edits to it will get removed if the file is opened in a newer version of Excel. Learn more: https://go.microsoft.com/fwlink/?linkid=870924
Comment:
	Which Account is Kevin's Account? @jsross526@gmail.com
</t>
      </text>
    </comment>
    <comment authorId="45" xr:uid="{c73665ae-24da-4a71-99a0-3394f5a9863c}" ref="A1">
      <text>
        <t xml:space="preserve">[Threaded comment]
 Your version of Excel allows you to read this threaded comment; however, any edits to it will get removed if the file is opened in a newer version of Excel. Learn more: https://go.microsoft.com/fwlink/?linkid=870924
Comment:
	payment plan good until May 2024, ext 5140 Romanica (12/21/24)
</t>
      </text>
    </comment>
    <comment authorId="46" xr:uid="{cba16017-5cce-4762-bc69-4b0cf45b9dac}" ref="A1">
      <text>
        <t xml:space="preserve">[Threaded comment]
 Your version of Excel allows you to read this threaded comment; however, any edits to it will get removed if the file is opened in a newer version of Excel. Learn more: https://go.microsoft.com/fwlink/?linkid=870924
Comment:
	Needs access to what? @jsross526@gmail.com
</t>
      </text>
    </comment>
    <comment authorId="47" xr:uid="{d27c5c53-e289-4ed5-b4ac-385a02b87ade}" ref="A1">
      <text>
        <t xml:space="preserve">[Threaded comment]
 Your version of Excel allows you to read this threaded comment; however, any edits to it will get removed if the file is opened in a newer version of Excel. Learn more: https://go.microsoft.com/fwlink/?linkid=870924
Comment:
	@jsross526@gmail.com do we use a credit card for any of these expenses anymore?
Because if not, we can get rid of this sheet
Assigned to jsross526@gmail.com
Reply:
	@jsross526@gmail.com ?
Reply:
	@jsross526@gmail.com ?
</t>
      </text>
    </comment>
    <comment authorId="48" xr:uid="{daff6c3b-ea2a-4b0c-9d9e-4bde40050c9e}" ref="A1">
      <text>
        <t xml:space="preserve">[Threaded comment]
 Your version of Excel allows you to read this threaded comment; however, any edits to it will get removed if the file is opened in a newer version of Excel. Learn more: https://go.microsoft.com/fwlink/?linkid=870924
Comment:
	@jsross526@gmail.com is there any contact information or login for this?
Assigned to jsross526@gmail.com
</t>
      </text>
    </comment>
    <comment authorId="49" xr:uid="{dc363243-3866-40ed-a303-a5c2753eea95}" ref="A1">
      <text>
        <t xml:space="preserve">[Threaded comment]
 Your version of Excel allows you to read this threaded comment; however, any edits to it will get removed if the file is opened in a newer version of Excel. Learn more: https://go.microsoft.com/fwlink/?linkid=870924
Comment:
	All medical bills are up to date with monthly payments. Two new Bill's was added this month. I added them. I had to put $469 on my Credit card to cover all expenses. If there money from other means a besides the HSA you can make a payment directly to my credit card please. As of today it was on $125 available and I used $116 of that to pay for North Central Baptist amount and used credit card to pay rest of the bills
Reply:
	Thank you very much for taking the time to use the excel to share information. I  cant make any payments directly to your credit card.  I do not have direct access only indirect access. We have cash available in our accounts so I am not understanding why we had to pay our medical bill expense of $469 with our credit card. You have access to all of our accounts, which account did not have enough cash to cover this so I explore and understand where the money went?
Reply:
	I'm not sure what account I'm supposed to get the $469 from?
</t>
      </text>
    </comment>
    <comment authorId="50" xr:uid="{e74b706d-e895-44c9-b002-68b98d369c14}" ref="A1">
      <text>
        <t xml:space="preserve">[Threaded comment]
 Your version of Excel allows you to read this threaded comment; however, any edits to it will get removed if the file is opened in a newer version of Excel. Learn more: https://go.microsoft.com/fwlink/?linkid=870924
Comment:
	Why is this not considered a Monthly Bill? @jsross526@gmail.com
</t>
      </text>
    </comment>
    <comment authorId="51" xr:uid="{eb5b24d2-e3d4-4a56-8d39-2cf5243e9020}" ref="A1">
      <text>
        <t xml:space="preserve">[Threaded comment]
 Your version of Excel allows you to read this threaded comment; however, any edits to it will get removed if the file is opened in a newer version of Excel. Learn more: https://go.microsoft.com/fwlink/?linkid=870924
Comment:
	@kevin.denny.ii@gmail.com this will need to be paid outside of HSA for month of May
Assigned to kevin.denny.ii@gmail.com
</t>
      </text>
    </comment>
    <comment authorId="52" xr:uid="{eea8be56-d768-49ea-b90d-6a08e266864e}" ref="A1">
      <text>
        <t xml:space="preserve">[Threaded comment]
 Your version of Excel allows you to read this threaded comment; however, any edits to it will get removed if the file is opened in a newer version of Excel. Learn more: https://go.microsoft.com/fwlink/?linkid=870924
Comment:
	@kevin.denny.ii@gmail.com please check on this. I got a text said bill was paid in full; website says balance is $0 but not seeing how this is possible??
Assigned to kevin.denny.ii@gmail.com
Reply:
	@jsross526@gmail.com I dont see how it was possible either. I had forgotten to ask you about this and what happened.  Ill communicate with them
Reply:
	@jsross526@gmail.com I called about this account and right now it is closed or payments and has current balance of what you see already updated. Similar the North Central Baptist account, we dont have to make any payments to we get notice of a new statement as we await what is happening.
Reassigned to jsross526@gmail.com
Reply:
	@kevin.denny.ii@gmail.com what happened for some reason the kids Medicaid was showing as active so it paid on these bills. Please call them and let them know we do not have secondary insurance so they can fix the bill. I hope these monthly payment arrangements will resume in August
Reassigned to kevin.denny.ii@gmail.com
Reply:
	@jsross526@gmail.com This has been updated.  This account was updated today with the correct balance again so I was able to initiate another payment plan
Reassigned to jsross526@gmail.com
Reply:
	Ok yes, I got a text
</t>
      </text>
    </comment>
    <comment authorId="53" xr:uid="{eec86c50-6427-452b-b3e4-946292d79bc9}" ref="A8">
      <text>
        <t xml:space="preserve">[Threaded comment]
 Your version of Excel allows you to read this threaded comment; however, any edits to it will get removed if the file is opened in a newer version of Excel. Learn more: https://go.microsoft.com/fwlink/?linkid=870924
Comment:
	@jsross526@gmail.com which savings is this going to? our $1000 Emergency fund? and then we should put this towards credit card debt?
Assigned to jsross526@gmail.com
Reply:
	You answered this in our counseling session  on 6/18/2022 so I updated it the notes.  so confirming this is $300 per paycheck right?
Reply:
	Yes, $300 per check. I transfer this into my Navy Federal savings (external account in USSA)
</t>
      </text>
    </comment>
    <comment authorId="54" xr:uid="{f59bb009-770a-4cda-abc0-641cc682e2e7}" ref="A1">
      <text>
        <t xml:space="preserve">[Threaded comment]
 Your version of Excel allows you to read this threaded comment; however, any edits to it will get removed if the file is opened in a newer version of Excel. Learn more: https://go.microsoft.com/fwlink/?linkid=870924
Comment:
	I created another sheet just in case you want to take the load off your plate and have us both keep track of the bills.  All you would need to do is enter numbers. Excel can do the rest if you so choose @jsross526@gmail.com
Assigned to jsross526@gmail.com
Reply:
	Biller Total Amount Due Monthly payment Balance as of 9/13
San Antonio Mid Wife $2,550 varied $1,500.00
North Central Baptist ER $2,782.62 $116 --------ongoing paid
North Central OB services $901 pay upon delivery
Cleveland Heart Lab $395.15 $100 $195
Natera $243 $50 $193
Baptist Emergency Hospital $301.85 $50 $176.86
Spectracell Laboratories $190 $50 $40
US-Acute Care--103 $200 $50
US-Acute Care--100 $262.05 $50
Reply:
	Updated @jsross526@gmail.com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tc={1f003cff-531e-42ae-a2f6-e30a8538d6a8}</author>
    <author>tc={297f231f-3c77-44e3-b25e-3cb8627c87eb}</author>
    <author>tc={2b79787b-d15a-404f-a55e-a2b15317052e}</author>
    <author>tc={33e7a2ee-407e-4827-9dfa-2b2c66732237}</author>
    <author>tc={713afbc3-0f24-4d70-98f7-dfe10cbf90ff}</author>
    <author>tc={94da9af2-58c3-437d-bf44-fc941e17f6fb}</author>
    <author>tc={b6f3fc85-56bb-46aa-b158-3cb0497c7305}</author>
    <author>tc={bd450cff-e289-4678-8cf0-f9bb9208304c}</author>
    <author>tc={c931964e-589d-4dca-9770-8321e72ebcdf}</author>
    <author>tc={cc51b26c-7a56-4da8-84b7-ebafe1285961}</author>
    <author>tc={d886e614-1d2d-4da2-a33c-1934d89cfdf7}</author>
    <author>tc={ff8a4c74-6e7a-48e7-9fc3-77ee0d9eedf4}</author>
  </authors>
  <commentList>
    <comment authorId="0" xr:uid="{1f003cff-531e-42ae-a2f6-e30a8538d6a8}" ref="A4">
      <text>
        <t xml:space="preserve">[Threaded comment]
 Your version of Excel allows you to read this threaded comment; however, any edits to it will get removed if the file is opened in a newer version of Excel. Learn more: https://go.microsoft.com/fwlink/?linkid=870924
Comment:
	@kevin.denny.ii@gmail.com do you see the actual amount of the electric bill. I know the most recent was $200 plus dollars.
Assigned to kevin.denny.ii@gmail.com
</t>
      </text>
    </comment>
    <comment authorId="1" xr:uid="{297f231f-3c77-44e3-b25e-3cb8627c87eb}" ref="A4">
      <text>
        <t xml:space="preserve">[Threaded comment]
 Your version of Excel allows you to read this threaded comment; however, any edits to it will get removed if the file is opened in a newer version of Excel. Learn more: https://go.microsoft.com/fwlink/?linkid=870924
Comment:
	@jsross526@gmail.com please update this with any expenses you have monthy (hair, etc.) and any amounts based on what you spend on the average that you feel need to be updated that may already be on here.
Assigned to jsross526@gmail.com
</t>
      </text>
    </comment>
    <comment authorId="2" xr:uid="{2b79787b-d15a-404f-a55e-a2b15317052e}" ref="E2">
      <text>
        <t xml:space="preserve">[Threaded comment]
 Your version of Excel allows you to read this threaded comment; however, any edits to it will get removed if the file is opened in a newer version of Excel. Learn more: https://go.microsoft.com/fwlink/?linkid=870924
Comment:
	@kevin.denny.ii@gmail.com not exactly sure where I should put this
Assigned to kevin.denny.ii@gmail.com
Reply:
	@jsross526@gmail.com add it to the rest of the expenses and what it will cost monthly
Reassigned to jsross526@gmail.com
Reply:
	can you update this please so we can capture our current monthly expenses? @jsross526@gmail.com
Reply:
	I only have on payment left on July 15th so I'll just leave this here
Reply:
	ok
</t>
      </text>
    </comment>
    <comment authorId="3" xr:uid="{33e7a2ee-407e-4827-9dfa-2b2c66732237}" ref="D4">
      <text>
        <t xml:space="preserve">[Threaded comment]
 Your version of Excel allows you to read this threaded comment; however, any edits to it will get removed if the file is opened in a newer version of Excel. Learn more: https://go.microsoft.com/fwlink/?linkid=870924
Comment:
	@kevin.denny.ii@gmail.com -cancelled auto pay. Payment arrangement to pay half bill by 1st and remaining balance by 15th September
Assigned to kevin.denny.ii@gmail.com
Reply:
	Ok, great.
</t>
      </text>
    </comment>
    <comment authorId="4" xr:uid="{713afbc3-0f24-4d70-98f7-dfe10cbf90ff}" ref="A28">
      <text>
        <t xml:space="preserve">[Threaded comment]
 Your version of Excel allows you to read this threaded comment; however, any edits to it will get removed if the file is opened in a newer version of Excel. Learn more: https://go.microsoft.com/fwlink/?linkid=870924
Comment:
	@jsross526@gmail.com we have not held ourselves accountable to this because in almost one weekend we spent close to $200 and we are definitely eating out at least once a day almost.  We have to figure our someway of holding ourselves accountable when we are talking about cash flows and amounts we do not want to go over for certain categories.  I think we both mentioned using https://www.youneedabudget.com/ and I think this would be great for us to use come next month.  Their app is also great too
Assigned to jsross526@gmail.com
Reply:
	We did not adhere this at all and have not been adhering to holding ourelves accountable for how much we spend on eating out so I dont know what to really do here expect move it back as this is only capturing how much we spend and not dictating what we said we would spend
</t>
      </text>
    </comment>
    <comment authorId="5" xr:uid="{94da9af2-58c3-437d-bf44-fc941e17f6fb}" ref="D56">
      <text>
        <t xml:space="preserve">[Threaded comment]
 Your version of Excel allows you to read this threaded comment; however, any edits to it will get removed if the file is opened in a newer version of Excel. Learn more: https://go.microsoft.com/fwlink/?linkid=870924
Comment:
	@kodennyii@hotmail.com
Assigned to kodennyii@hotmail.com
Reply:
	Thanks for making this note.  I will create a medical bill excel sheet.  Because this is coming out of the HSA it doesn't affect our estimated expenses but it is something to note and be aware of as well as the the other medical bill that we were paying the monthly $325 and if thats already done, we should definitely start paying our selves back on the HSA.  Please fill out the portions of it when you can.
</t>
      </text>
    </comment>
    <comment authorId="6" xr:uid="{b6f3fc85-56bb-46aa-b158-3cb0497c7305}" ref="A4">
      <text>
        <t xml:space="preserve">[Threaded comment]
 Your version of Excel allows you to read this threaded comment; however, any edits to it will get removed if the file is opened in a newer version of Excel. Learn more: https://go.microsoft.com/fwlink/?linkid=870924
Comment:
	@jsross526@gmail.com I updated expense on here you can add on here very easily but going to "Insert" then "Row Below" and it will automatically do the calculation for you :-)
Assigned to jsross526@gmail.com
</t>
      </text>
    </comment>
    <comment authorId="7" xr:uid="{bd450cff-e289-4678-8cf0-f9bb9208304c}" ref="C41">
      <text>
        <t xml:space="preserve">[Threaded comment]
 Your version of Excel allows you to read this threaded comment; however, any edits to it will get removed if the file is opened in a newer version of Excel. Learn more: https://go.microsoft.com/fwlink/?linkid=870924
Comment:
	This sheet is NOT a budget .it is tracking expenses that we pay for monthly and totaling that amount.  Also, this is not something we spend on monthly or have spend out of pocket enough times (no more than twice) to have it considered a monthly expense.  What we can do is have a savings account (non emergency) and pull money from that if we need to use it when HSA funds are unavailable  or pull from an "emergency fund" and simply replenish it. @jsross526@gmail.com
Assigned to jsross526@gmail.com
Reply:
	Ok
</t>
      </text>
    </comment>
    <comment authorId="8" xr:uid="{c931964e-589d-4dca-9770-8321e72ebcdf}" ref="A24">
      <text>
        <t xml:space="preserve">[Threaded comment]
 Your version of Excel allows you to read this threaded comment; however, any edits to it will get removed if the file is opened in a newer version of Excel. Learn more: https://go.microsoft.com/fwlink/?linkid=870924
Comment:
	@kevin.denny.ii@gmail.com; I'm start putting this amount aside 8/1/2022; Student loans go back in effect 9/1
Assigned to kevin.denny.ii@gmail.com
Reply:
	@jsross526@gmail.com Ok, that's a good idea
putting this aside where, though?  how much do you already have saved for this?
Reassigned to jsross526@gmail.com
Reply:
	It has the date in the comment when I would start
Reply:
	This is not an expense yet.
That is why I asked where did we put it aside because it is Monthly Savings.
I asked how much because there is possibility you put this in account where you already using money so the real amount is not saved.
All the money, including the money I give myself I share where it is going.
Reply:
	How can you come to those conclusions?? The comment literally says starting 8/1..so why would there be money anywhere else?? Which I actually forgot on 8/1 so on Friday I will have this amount to pay for student loan due 9/1
Reply:
	im confused here.  What conclusion?...
what I concluded is that this is not an expense yet, is that what you are talking about?  
I was making a note and asking where is this money being saved.
</t>
      </text>
    </comment>
    <comment authorId="9" xr:uid="{cc51b26c-7a56-4da8-84b7-ebafe1285961}" ref="A4">
      <text>
        <t xml:space="preserve">[Threaded comment]
 Your version of Excel allows you to read this threaded comment; however, any edits to it will get removed if the file is opened in a newer version of Excel. Learn more: https://go.microsoft.com/fwlink/?linkid=870924
Comment:
	@jsross526@gmail.com Can you fill this out when you are able, please?  Thanks.
</t>
      </text>
    </comment>
    <comment authorId="10" xr:uid="{d886e614-1d2d-4da2-a33c-1934d89cfdf7}" ref="A27">
      <text>
        <t xml:space="preserve">[Threaded comment]
 Your version of Excel allows you to read this threaded comment; however, any edits to it will get removed if the file is opened in a newer version of Excel. Learn more: https://go.microsoft.com/fwlink/?linkid=870924
Comment:
	@jsross526@gmail.com this month we spent over an estimated $620 in dining/restaraunts....  This does not include anything spent for groceries at HEB or Walmart.  This most likely means our credit debt reduction this month will be small excluding the payments we made from our Savings Account and Roth IRA contribution
Assigned to jsross526@gmail.com
</t>
      </text>
    </comment>
    <comment authorId="11" xr:uid="{ff8a4c74-6e7a-48e7-9fc3-77ee0d9eedf4}" ref="A43">
      <text>
        <t xml:space="preserve">[Threaded comment]
 Your version of Excel allows you to read this threaded comment; however, any edits to it will get removed if the file is opened in a newer version of Excel. Learn more: https://go.microsoft.com/fwlink/?linkid=870924
Comment:
	This is for 2x a week, May &amp; June, it will be $180 when they go to 1x a week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tc={7c1098c7-75ca-463d-8205-652497d7f772}</author>
    <author>tc={b348858b-fc72-4d68-b29c-8aef0e8f3060}</author>
    <author>tc={f033bc4c-f4f5-4195-9ed2-943fbf80f730}</author>
  </authors>
  <commentList>
    <comment authorId="0" xr:uid="{7c1098c7-75ca-463d-8205-652497d7f772}" ref="B16">
      <text>
        <t xml:space="preserve">[Threaded comment]
 Your version of Excel allows you to read this threaded comment; however, any edits to it will get removed if the file is opened in a newer version of Excel. Learn more: https://go.microsoft.com/fwlink/?linkid=870924
Comment:
	@jsross526@gmail.com can update this with the NFCU credit card balance?
Assigned to jsross526@gmail.com
Reply:
	@jsross526@gmail.com can you please update this amount
</t>
      </text>
    </comment>
    <comment authorId="1" xr:uid="{b348858b-fc72-4d68-b29c-8aef0e8f3060}" ref="C16">
      <text>
        <t xml:space="preserve">[Threaded comment]
 Your version of Excel allows you to read this threaded comment; however, any edits to it will get removed if the file is opened in a newer version of Excel. Learn more: https://go.microsoft.com/fwlink/?linkid=870924
Comment:
	@jsross526@gmail.com just FYI, this column is automatically updated without you having to touch it.  Anytime the Current balances are update, the respective column is updated, respectively.
Assigned to jsross526@gmail.com
</t>
      </text>
    </comment>
    <comment authorId="2" xr:uid="{f033bc4c-f4f5-4195-9ed2-943fbf80f730}" ref="A3">
      <text>
        <t xml:space="preserve">[Threaded comment]
 Your version of Excel allows you to read this threaded comment; however, any edits to it will get removed if the file is opened in a newer version of Excel. Learn more: https://go.microsoft.com/fwlink/?linkid=870924
Comment:
	@kevin.denny.ii@gmail.com , I thought we used majority of the Tax refund to pay this card off?
Assigned to kevin.denny.ii@gmail.com
Reply:
	@jsross526@gmail.com Correct. but notice how the VISA on NFCU has been cut in half. Lower APR rate on the Barclays. It also lowers the credit ratio.
Reassigned to jsross526@gmail.com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tc={7c01c931-c568-4133-8675-2c3a5e11eaaf}</author>
    <author>tc={a788dba9-a0ea-409e-b657-bbb8152cbae5}</author>
    <author>tc={ad0c37cb-4774-4d47-87ef-dd14a733d4c2}</author>
    <author>tc={e366bf77-16c7-40c3-a539-c3557e894d6f}</author>
    <author>tc={f21b2a4b-fa64-4fa0-aca3-05f8023dc7a0}</author>
    <author>tc={f57078c3-da52-43b7-b558-03790d31d49a}</author>
  </authors>
  <commentList>
    <comment authorId="0" xr:uid="{7c01c931-c568-4133-8675-2c3a5e11eaaf}" ref="D12">
      <text>
        <t xml:space="preserve">[Threaded comment]
 Your version of Excel allows you to read this threaded comment; however, any edits to it will get removed if the file is opened in a newer version of Excel. Learn more: https://go.microsoft.com/fwlink/?linkid=870924
Comment:
	@jsross526@gmail.com  this is the current amount of Credit Card debt we have.  It has doubled since Februrary of this year
</t>
      </text>
    </comment>
    <comment authorId="1" xr:uid="{a788dba9-a0ea-409e-b657-bbb8152cbae5}" ref="D21">
      <text>
        <t xml:space="preserve">[Threaded comment]
 Your version of Excel allows you to read this threaded comment; however, any edits to it will get removed if the file is opened in a newer version of Excel. Learn more: https://go.microsoft.com/fwlink/?linkid=870924
Comment:
	@jsross526@gmail.com FYI
</t>
      </text>
    </comment>
    <comment authorId="2" xr:uid="{ad0c37cb-4774-4d47-87ef-dd14a733d4c2}" ref="A4">
      <text>
        <t xml:space="preserve">[Threaded comment]
 Your version of Excel allows you to read this threaded comment; however, any edits to it will get removed if the file is opened in a newer version of Excel. Learn more: https://go.microsoft.com/fwlink/?linkid=870924
Comment:
	@jsross526@gmail.com will you be making a payment on the Amex anytime soon? Is this something you have changed your mind on?
Reply:
	No I haven't but I haven't had any extra money. Seems when after I get paid our other accounts are low both shared checking and savings that I actually need to use the money
Reply:
	If we are able to buy, for example, almost $100 in crabs in three days, we have the extra cash.  Or if we able to pay cash for a vacation then we have extra cash to make a payment towards debt.  It is the responsible thing to do first so that in the future and hopefully no a very late future we can take whatever vacations and buy as much crabs as we want because we have no obligation to pay someone back money with interest...
</t>
      </text>
    </comment>
    <comment authorId="3" xr:uid="{e366bf77-16c7-40c3-a539-c3557e894d6f}" ref="F15">
      <text>
        <t xml:space="preserve">[Threaded comment]
 Your version of Excel allows you to read this threaded comment; however, any edits to it will get removed if the file is opened in a newer version of Excel. Learn more: https://go.microsoft.com/fwlink/?linkid=870924
Comment:
	@jsross526@gmail.com @lmolina@freshstartcpa.com our first total credit card balance decrease in over 13 months ago :-)
</t>
      </text>
    </comment>
    <comment authorId="4" xr:uid="{f21b2a4b-fa64-4fa0-aca3-05f8023dc7a0}" ref="A5">
      <text>
        <t xml:space="preserve">[Threaded comment]
 Your version of Excel allows you to read this threaded comment; however, any edits to it will get removed if the file is opened in a newer version of Excel. Learn more: https://go.microsoft.com/fwlink/?linkid=870924
Comment:
	@jsross526@gmail.com Because we have almost an estimated $2000 left after all monthly expenses, i would like to make this payment $450 starting in July.  The estimated debt left on this credit card is $10,500 and i froze the card so it cant be used
Assigned to jsross526@gmail.com
Reply:
	ok
</t>
      </text>
    </comment>
    <comment authorId="5" xr:uid="{f57078c3-da52-43b7-b558-03790d31d49a}" ref="A6">
      <text>
        <t xml:space="preserve">[Threaded comment]
 Your version of Excel allows you to read this threaded comment; however, any edits to it will get removed if the file is opened in a newer version of Excel. Learn more: https://go.microsoft.com/fwlink/?linkid=870924
Comment:
	@jsross526@gmail.com is this estimate correct?
Reply:
	@jsross526@gmail.com is this estimate correct?
Reply:
	Yes; sometimes it is more because if I do use it I try to put back on it what I used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tc={1b3db4cd-d27e-4a67-a15c-3e91822d0649}</author>
    <author>tc={24f9a5c5-a978-4ed4-b200-ae5634c06b7a}</author>
    <author>tc={78d63056-6810-4fd4-8455-e9e2129ff14a}</author>
    <author>tc={83b985ea-5149-4b67-8189-334d206590b7}</author>
    <author>tc={a9048e7e-a424-40ab-96f9-77ba42e9cefd}</author>
  </authors>
  <commentList>
    <comment authorId="0" xr:uid="{1b3db4cd-d27e-4a67-a15c-3e91822d0649}" ref="F8">
      <text>
        <t xml:space="preserve">[Threaded comment]
 Your version of Excel allows you to read this threaded comment; however, any edits to it will get removed if the file is opened in a newer version of Excel. Learn more: https://go.microsoft.com/fwlink/?linkid=870924
Comment:
	@jsross526@gmail.com how was this calculated?
Assigned to jsross526@gmail.com
Reply:
	Ok so I just calculated the monthly payment amounts. This does not include one time or bills that can be paid off in one/two months
</t>
      </text>
    </comment>
    <comment authorId="1" xr:uid="{24f9a5c5-a978-4ed4-b200-ae5634c06b7a}" ref="D9">
      <text>
        <t xml:space="preserve">[Threaded comment]
 Your version of Excel allows you to read this threaded comment; however, any edits to it will get removed if the file is opened in a newer version of Excel. Learn more: https://go.microsoft.com/fwlink/?linkid=870924
Comment:
	@kevin.denny.ii@gmail.com  please do not use the HSA card anymore this month. All bills have been paid, the remaining balance left on the card is for amounts that are on auto draft.
Assigned to kevin.denny.ii@gmail.com
</t>
      </text>
    </comment>
    <comment authorId="2" xr:uid="{78d63056-6810-4fd4-8455-e9e2129ff14a}" ref="F8">
      <text>
        <t xml:space="preserve">[Threaded comment]
 Your version of Excel allows you to read this threaded comment; however, any edits to it will get removed if the file is opened in a newer version of Excel. Learn more: https://go.microsoft.com/fwlink/?linkid=870924
Comment:
	@jsross526@gmail.com can you double check this please? The excel calculated a high amount which I updated based on your notes
Assigned to jsross526@gmail.com
Reply:
	Ok; checking now
Reply:
	@jsross526@gmail.com Can you please show how these total are calculated?  The first total didn't seem right according to what you noted so I am just wondering how did we come up with this new total and is that calculation correct also
Reply:
	I just added up all the min. amount all for all the items we have listed. Please note I did have to add two (Dual Arc and Peds bill for Emma which exceeds the $600 we have available. That amount doesn't include the amount to pay for her ER visit
</t>
      </text>
    </comment>
    <comment authorId="3" xr:uid="{83b985ea-5149-4b67-8189-334d206590b7}" ref="D9">
      <text>
        <t xml:space="preserve">[Threaded comment]
 Your version of Excel allows you to read this threaded comment; however, any edits to it will get removed if the file is opened in a newer version of Excel. Learn more: https://go.microsoft.com/fwlink/?linkid=870924
Comment:
	@kevin.denny.ii@gmail.com  this is probably most accurate amount due May.
Assigned to kevin.denny.ii@gmail.com
Reply:
	@jsross526@gmail.com the other amounts added dont have monthly payment options?
The bill that came from Christus was easy to setup because all I had to do was go to the website stated on the bill.
and I still dont see where are the items totaling that amount?
Reassigned to jsross526@gmail.com
Reply:
	ok now that I have moved this over, I see the total.
Does ABCD take partial payments and such and what about M&amp;R Radiology, too?
Reply:
	ABCD requires full payment. It was actually due on Tuesday but they are letting me put it off until May. M&amp;R allows payment but the full balance had to be paid by 90 days so that's why have to pay remaining balance in May
Reply:
	@jsross526@gmail.com Ok, we can make this work. This wont be as bad as it seems, that is for sure :-). I am so glad we have no interests on payments and we simply have to pay things off and some upfront. gracias...besos
Reply:
	All the sums are being calculated in column H
</t>
      </text>
    </comment>
    <comment authorId="4" xr:uid="{a9048e7e-a424-40ab-96f9-77ba42e9cefd}" ref="F11">
      <text>
        <t xml:space="preserve">[Threaded comment]
 Your version of Excel allows you to read this threaded comment; however, any edits to it will get removed if the file is opened in a newer version of Excel. Learn more: https://go.microsoft.com/fwlink/?linkid=870924
Comment:
	@kevin.denny.ii@gmail.com
Assigned to kevin.denny.ii@gmail.com
Reply:
	I am very confused by these June totals... @jsross526@gmail.com 
I dont know anything about them.
Reassigned to jsross526@gmail.com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tc={5a4bc49a-9b10-478e-919b-4c9c26515251}</author>
  </authors>
  <commentList>
    <comment authorId="0" xr:uid="{5a4bc49a-9b10-478e-919b-4c9c26515251}" ref="D1">
      <text>
        <t xml:space="preserve">[Threaded comment]
 Your version of Excel allows you to read this threaded comment; however, any edits to it will get removed if the file is opened in a newer version of Excel. Learn more: https://go.microsoft.com/fwlink/?linkid=870924
Comment:
	@jsross526@gmail.com check the box once something has been paid back and the "total payout remaining" will be updated
Assigned to jsross526@gmail.com
Reply:
	@jsross526@gmail.com If you have an account of all the medical bills you paid for put them here if you can.  Little by little we can use the HSA to pay our selves back as we pay down all our current medical bills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tc={7ae2eb04-0dec-49a2-a3db-1285d357493c}</author>
  </authors>
  <commentList>
    <comment authorId="0" xr:uid="{7ae2eb04-0dec-49a2-a3db-1285d357493c}" ref="F1">
      <text>
        <t xml:space="preserve">[Threaded comment]
 Your version of Excel allows you to read this threaded comment; however, any edits to it will get removed if the file is opened in a newer version of Excel. Learn more: https://go.microsoft.com/fwlink/?linkid=870924
Comment:
	Estimated Current Networth @jsross526@gmail.com
</t>
      </text>
    </comment>
  </commentList>
</comments>
</file>

<file path=xl/sharedStrings.xml><?xml version="1.0" encoding="utf-8"?>
<sst xmlns="http://schemas.openxmlformats.org/spreadsheetml/2006/main" count="364" uniqueCount="277">
  <si>
    <t>Income Amounts(Monthly Not Including Savings)</t>
  </si>
  <si>
    <t>Notes</t>
  </si>
  <si>
    <t>Family USAA Checking #5494</t>
  </si>
  <si>
    <t>Starting the month of August 2025 $1800 was put back here as we no longer pay for private schooling</t>
  </si>
  <si>
    <t xml:space="preserve">Jamie USAA Checking #1986 </t>
  </si>
  <si>
    <t>Left over so Jamie does not have to go and change current bills being paid for</t>
  </si>
  <si>
    <t>Chime Prepaid Visa</t>
  </si>
  <si>
    <t>Bills paid with this Prepaid Card can be found on the monthly expenses sheet, added. This is over the amount you will see being calculated for cushion on bill that might fluctuate and unplanned cost.</t>
  </si>
  <si>
    <t>Total Monthly Income For Checking</t>
  </si>
  <si>
    <t>Savings &amp; Allowance Amount (Monthly)</t>
  </si>
  <si>
    <t>Jamie USAA Checking #1986</t>
  </si>
  <si>
    <t>Kevin NFCU checking allowance</t>
  </si>
  <si>
    <t>#7710</t>
  </si>
  <si>
    <t>Kevin Greenwood Checking</t>
  </si>
  <si>
    <t xml:space="preserve">Traveling Fund, 4.15%APR Savings Account </t>
  </si>
  <si>
    <t>Kevin NFCU Savings</t>
  </si>
  <si>
    <t>Kevin Roth IRA</t>
  </si>
  <si>
    <t>Jamie Roth IRA</t>
  </si>
  <si>
    <t>Total Month Savings</t>
  </si>
  <si>
    <t>Income Plus Savings</t>
  </si>
  <si>
    <t>Bills</t>
  </si>
  <si>
    <t>Amount</t>
  </si>
  <si>
    <t>Frequency</t>
  </si>
  <si>
    <t>Balance</t>
  </si>
  <si>
    <t>Affirm</t>
  </si>
  <si>
    <t>Monthly</t>
  </si>
  <si>
    <t>Paypal Credit</t>
  </si>
  <si>
    <t xml:space="preserve">1st </t>
  </si>
  <si>
    <t>Paypal Master card</t>
  </si>
  <si>
    <t>1st</t>
  </si>
  <si>
    <t>Amex</t>
  </si>
  <si>
    <t>Chuckie Cheese Monthly Pass</t>
  </si>
  <si>
    <t>15th</t>
  </si>
  <si>
    <t>Bestbuy</t>
  </si>
  <si>
    <t>Life Insurance</t>
  </si>
  <si>
    <t>Navy Federal</t>
  </si>
  <si>
    <t>Old Navy</t>
  </si>
  <si>
    <t>USAA</t>
  </si>
  <si>
    <t>$2192.81 bi weekly pay</t>
  </si>
  <si>
    <t>$4385.62 monthly</t>
  </si>
  <si>
    <t>Monthly Income (After Savings)</t>
  </si>
  <si>
    <t>*All Are High Estimates</t>
  </si>
  <si>
    <t>Expense Amounts</t>
  </si>
  <si>
    <t>Expense</t>
  </si>
  <si>
    <t>Additional Notes</t>
  </si>
  <si>
    <t>Paid with Chime Prepaid Visa?</t>
  </si>
  <si>
    <t>Electric Bill</t>
  </si>
  <si>
    <t>Average Cost, Utility, Paid on the 21st Using SmartHub App</t>
  </si>
  <si>
    <t>Paid with Chime Prepaid Visa</t>
  </si>
  <si>
    <t>Life Insurance (Jamie)</t>
  </si>
  <si>
    <t>Term Life Insurance  (Kevin)</t>
  </si>
  <si>
    <t>Tidal</t>
  </si>
  <si>
    <t>Netflix</t>
  </si>
  <si>
    <t xml:space="preserve">Rent </t>
  </si>
  <si>
    <t>Verizon Wireless Plus Streaming Services</t>
  </si>
  <si>
    <t>Includes Hulu, Disney+, Espn+ Subscription</t>
  </si>
  <si>
    <t>EnviroGuard Pest Control</t>
  </si>
  <si>
    <t>$90 paid every 2 months</t>
  </si>
  <si>
    <t xml:space="preserve">Lawn and Garden </t>
  </si>
  <si>
    <t>AT&amp;T</t>
  </si>
  <si>
    <t>Ring</t>
  </si>
  <si>
    <t>ExpressVPN</t>
  </si>
  <si>
    <t>Amazon Prime</t>
  </si>
  <si>
    <t>Notion (Note Taking Application)</t>
  </si>
  <si>
    <r>
      <rPr>
        <color rgb="FF000000"/>
        <u/>
      </rPr>
      <t>Privacy.com</t>
    </r>
    <r>
      <rPr>
        <color rgb="FF000000"/>
      </rPr>
      <t xml:space="preserve"> - Plus Subscription</t>
    </r>
  </si>
  <si>
    <t>for security of online purchasing using</t>
  </si>
  <si>
    <t>Car + Renter's Insurance</t>
  </si>
  <si>
    <t xml:space="preserve">Hair Appointments/Hair Products </t>
  </si>
  <si>
    <t xml:space="preserve">Skin care products </t>
  </si>
  <si>
    <t xml:space="preserve">Nail Salon </t>
  </si>
  <si>
    <t>Clothing Items</t>
  </si>
  <si>
    <t>Kids and Adults</t>
  </si>
  <si>
    <t>Student Loans (Jamie)</t>
  </si>
  <si>
    <t>Paused</t>
  </si>
  <si>
    <t>Student Loans (Kevin)</t>
  </si>
  <si>
    <t>Sewage/Trash/Water - Utilties</t>
  </si>
  <si>
    <t>Average Cost (City of Selma)</t>
  </si>
  <si>
    <t>Groceries</t>
  </si>
  <si>
    <t>Average Cost</t>
  </si>
  <si>
    <t>Eating out/entertainment</t>
  </si>
  <si>
    <t>Household Items</t>
  </si>
  <si>
    <t>Toiletries</t>
  </si>
  <si>
    <t>Quip Toothbrush Subscription</t>
  </si>
  <si>
    <t>$89 every 3 months for 2x Original Standard Soft-Bristle Brush Head
1x Floss String Refill Spool
1x Large Mint Anticavity Toothpaste
1x 90-Piece Gum Refill (9 Packs)
2x Original Small Soft-Bristle Brush Head
1x Large Watermelon Anticavity Toothpaste
1x Floss Pick Refill Pod - Expanding String</t>
  </si>
  <si>
    <t>Vehicle Gas</t>
  </si>
  <si>
    <t xml:space="preserve">New York Times, The Daily </t>
  </si>
  <si>
    <t xml:space="preserve">Cheroenhaka Tribal Foundation </t>
  </si>
  <si>
    <t>www.nfggive.org - Network For Good</t>
  </si>
  <si>
    <t>Revelation Church SA</t>
  </si>
  <si>
    <t>BitWarden</t>
  </si>
  <si>
    <t>Paid on a yearly basis at $10/year</t>
  </si>
  <si>
    <t>SiriusXM</t>
  </si>
  <si>
    <t>$127/year paid at once</t>
  </si>
  <si>
    <t>Chris Flick Comics</t>
  </si>
  <si>
    <t>World Central Kitchen</t>
  </si>
  <si>
    <t>Believer's Academy</t>
  </si>
  <si>
    <t xml:space="preserve">monthly tuition plus any other school-related expenses </t>
  </si>
  <si>
    <t>Marriage Counseling Sessions</t>
  </si>
  <si>
    <t>Pausing for several Months as we work through another Marriage Bootcamp/Retreat</t>
  </si>
  <si>
    <t>Kevin Therapy with Ralph DeMar</t>
  </si>
  <si>
    <t>Aqua Tots (KJ &amp; Emma)</t>
  </si>
  <si>
    <t>Lupita Cleaning</t>
  </si>
  <si>
    <t>Emma - Cheering</t>
  </si>
  <si>
    <t>iCode (KJ)</t>
  </si>
  <si>
    <t xml:space="preserve">Fabletics Clothing Subscription </t>
  </si>
  <si>
    <t>Cancelled Indefinitely</t>
  </si>
  <si>
    <t xml:space="preserve">Nabu Casa Securing Home Assistant </t>
  </si>
  <si>
    <t>Lexus NX 2018 - NFCU Auto Loan</t>
  </si>
  <si>
    <t>Payments Start January 13th</t>
  </si>
  <si>
    <t xml:space="preserve">Jam Family Calendar </t>
  </si>
  <si>
    <t>Mission Compost</t>
  </si>
  <si>
    <t>Food Waste &amp; Compost Soil Program</t>
  </si>
  <si>
    <t>Math Prodigy (for Kenneth)</t>
  </si>
  <si>
    <t>Total ESTIMATED Monthly Expenses</t>
  </si>
  <si>
    <r>
      <rPr>
        <rFont val="Arial"/>
        <b/>
        <color theme="1"/>
      </rPr>
      <t xml:space="preserve">Total For </t>
    </r>
    <r>
      <rPr>
        <rFont val="Arial"/>
        <b/>
        <color rgb="FF00FF00"/>
      </rPr>
      <t>Chime Prepaid Card</t>
    </r>
  </si>
  <si>
    <t>Total Left After Expenses</t>
  </si>
  <si>
    <t>Debt Owed</t>
  </si>
  <si>
    <t>Current Balance</t>
  </si>
  <si>
    <t>Date Recorded</t>
  </si>
  <si>
    <t>Paypal Pay Later - Kevin</t>
  </si>
  <si>
    <t>Pay Later</t>
  </si>
  <si>
    <t xml:space="preserve">Barclays - Kevin </t>
  </si>
  <si>
    <t>Credit Card</t>
  </si>
  <si>
    <t>NFCU Visa - Kevin</t>
  </si>
  <si>
    <t>Klarna Payments - Kevin</t>
  </si>
  <si>
    <t>Barclays - Jamie</t>
  </si>
  <si>
    <t>Affirm Payments - Jamie</t>
  </si>
  <si>
    <t>Mastercard-Jamie</t>
  </si>
  <si>
    <t>AMEX-Jamie</t>
  </si>
  <si>
    <t>Affirm Payments - Kevin</t>
  </si>
  <si>
    <t>USAA Visa - Kevin</t>
  </si>
  <si>
    <t>Paypal Credit-Jamie</t>
  </si>
  <si>
    <t>Credit</t>
  </si>
  <si>
    <t>USAA VISA -  Jamie</t>
  </si>
  <si>
    <t>Best Buy</t>
  </si>
  <si>
    <t>Navy Federal Auto Loan</t>
  </si>
  <si>
    <t xml:space="preserve">NFCU Visa - Jamie </t>
  </si>
  <si>
    <t>USAA Amex - Kevin</t>
  </si>
  <si>
    <t>Total</t>
  </si>
  <si>
    <t>Total Amount After Expenses Paid &amp; Estimated Expense Allocation</t>
  </si>
  <si>
    <t>Debt Amount</t>
  </si>
  <si>
    <t>Monthly Balance Change</t>
  </si>
  <si>
    <t>Credit Cards</t>
  </si>
  <si>
    <t>USAA Amex</t>
  </si>
  <si>
    <t>Kevin Barclays Visa</t>
  </si>
  <si>
    <t>PAID OFF!!!!!!</t>
  </si>
  <si>
    <t>Jamie NFCU Visa - 0454</t>
  </si>
  <si>
    <t>Jamie NFCU Visa-5392</t>
  </si>
  <si>
    <t>Kevin NFCU Visa</t>
  </si>
  <si>
    <t>Jamie USAA Visa</t>
  </si>
  <si>
    <t>Jamie AMEX</t>
  </si>
  <si>
    <t>Jamie Best Buy</t>
  </si>
  <si>
    <t>Jamie Pay Pal Credit</t>
  </si>
  <si>
    <t>Jamie Mastercard</t>
  </si>
  <si>
    <t>Jamie Barclays Visa (Old Navy)</t>
  </si>
  <si>
    <t>Kevin Klarma</t>
  </si>
  <si>
    <t>Kevin Affirm</t>
  </si>
  <si>
    <t>Kevin PayPal</t>
  </si>
  <si>
    <t>PAID OFF!!!</t>
  </si>
  <si>
    <t>Kevin USAA Visa</t>
  </si>
  <si>
    <t>Total Amount in Debt Owed Payments</t>
  </si>
  <si>
    <t>Cash After Debt Owed Payments</t>
  </si>
  <si>
    <t>Bill Name</t>
  </si>
  <si>
    <t>Total Amount</t>
  </si>
  <si>
    <t>Amount Remaining</t>
  </si>
  <si>
    <t>Monthly Payments</t>
  </si>
  <si>
    <t>HSA Payment Day</t>
  </si>
  <si>
    <t>Additonal Notes</t>
  </si>
  <si>
    <t>Diversified Healthcare Services</t>
  </si>
  <si>
    <t>5th</t>
  </si>
  <si>
    <t>Ref 10154184</t>
  </si>
  <si>
    <t>Aspira</t>
  </si>
  <si>
    <t>Acct#A0155419/866-927-7472</t>
  </si>
  <si>
    <t>Virtusa GYN</t>
  </si>
  <si>
    <t>last business day of month</t>
  </si>
  <si>
    <t>210-878-0090</t>
  </si>
  <si>
    <t>Genova Diagnostics</t>
  </si>
  <si>
    <t>Methodist Hospital Northeast</t>
  </si>
  <si>
    <t>23rd of each month</t>
  </si>
  <si>
    <t>Medicredi  800-823-2318 ref: 194975821</t>
  </si>
  <si>
    <t>Northeast medical facilty</t>
  </si>
  <si>
    <t>1-844-974-3800 Acct: 467354305</t>
  </si>
  <si>
    <t>Total Medical Debt</t>
  </si>
  <si>
    <t>Total Remaining Debt</t>
  </si>
  <si>
    <t>Total Monthly Payments</t>
  </si>
  <si>
    <t>For What?</t>
  </si>
  <si>
    <t>Year</t>
  </si>
  <si>
    <t>Paid?</t>
  </si>
  <si>
    <t>Total Payout</t>
  </si>
  <si>
    <t>Total Payout Remaining</t>
  </si>
  <si>
    <t>Abcd Pediatrics</t>
  </si>
  <si>
    <t>To Jamie for Total Healthcare Payment</t>
  </si>
  <si>
    <t xml:space="preserve">Methodist physicians (Jamie) </t>
  </si>
  <si>
    <t xml:space="preserve">peds doc bill </t>
  </si>
  <si>
    <t>co pays for kids doc visits</t>
  </si>
  <si>
    <t>Trojan condoms</t>
  </si>
  <si>
    <t>Texas Pediatrics - Sleep consultation copay</t>
  </si>
  <si>
    <t>CVS for Emma and KJ</t>
  </si>
  <si>
    <t>Emma's medication</t>
  </si>
  <si>
    <t>Physical visit with Integrative</t>
  </si>
  <si>
    <t>Supergoop Sunscreen</t>
  </si>
  <si>
    <t>Gottman questionnaire</t>
  </si>
  <si>
    <t>Dermatologist Copay</t>
  </si>
  <si>
    <t>final payment Dr. Albricht</t>
  </si>
  <si>
    <t>kids allergist co pay</t>
  </si>
  <si>
    <t>Initial payment to www.christusepay.com</t>
  </si>
  <si>
    <t>Children's Motrin</t>
  </si>
  <si>
    <t>Tucks Cooling Pads</t>
  </si>
  <si>
    <t>Thermacare Menstrual Pads</t>
  </si>
  <si>
    <t>2 Matty's Vapor</t>
  </si>
  <si>
    <t>Jamie virtuosa obgyn visit</t>
  </si>
  <si>
    <t>Patch Band Aids</t>
  </si>
  <si>
    <t xml:space="preserve">first response pregnancy test </t>
  </si>
  <si>
    <t xml:space="preserve"> Emma ENT co pay</t>
  </si>
  <si>
    <t>co pay for medication for Emma</t>
  </si>
  <si>
    <t>Tylenol PM</t>
  </si>
  <si>
    <t>Emma Urgent Care Co-pay</t>
  </si>
  <si>
    <t>Emma Nasal Spray Medication</t>
  </si>
  <si>
    <t>Emma Allergy Copay visit</t>
  </si>
  <si>
    <t>Kenneth sick visit copay</t>
  </si>
  <si>
    <t>Gottman Modules</t>
  </si>
  <si>
    <t>Airrosti</t>
  </si>
  <si>
    <t xml:space="preserve">Gastrology Consultants </t>
  </si>
  <si>
    <t>Christus Bill</t>
  </si>
  <si>
    <t>Ralph Demur (Kevin Individual Counseling)</t>
  </si>
  <si>
    <t xml:space="preserve">Supergoop sunscreen glow 5 oz </t>
  </si>
  <si>
    <t>Dr. Tubbs (4/8/2023 Session)</t>
  </si>
  <si>
    <t>Ketone Test from Target</t>
  </si>
  <si>
    <t>Dr. Tubbs (5/20/2023 Session)</t>
  </si>
  <si>
    <t>Dr. Tubbs (6/3/2023 Session)</t>
  </si>
  <si>
    <t>Dr. Tubbs (6/11/2023 Session)</t>
  </si>
  <si>
    <t>Dr. Tubbs (7/8/2023 Session)</t>
  </si>
  <si>
    <t>Dr. Tubbs (7/29/2023 Session)</t>
  </si>
  <si>
    <t>Dr. Tubbs (9/23/2023 Session)</t>
  </si>
  <si>
    <t>Dr. Tubbs (10/7/2023 Session)</t>
  </si>
  <si>
    <t>Dr. Tubbs (11/18/2023 Session)</t>
  </si>
  <si>
    <t>Dr. Tubbs (11/21/2023 Individual Session)</t>
  </si>
  <si>
    <t>Dr. Tubbs (12/30/2023 Session)</t>
  </si>
  <si>
    <t>Integrative Medicine 6 month bloodwork check up</t>
  </si>
  <si>
    <t>SuperGoop Glow Oil Sunscreen 5 oz</t>
  </si>
  <si>
    <t>iCryo Membership (Jamie)</t>
  </si>
  <si>
    <t>Pendulum Akkermansia probiotic</t>
  </si>
  <si>
    <t>SuperGoop Everyday Sunscreen Lotion</t>
  </si>
  <si>
    <t>Quest Diagnostic Stool Speciment Testing</t>
  </si>
  <si>
    <t>Geneva Diagnostics (Stool Sample Testing Requested from Annual Physical)</t>
  </si>
  <si>
    <t>Physical visit with Integrative Family Medicine</t>
  </si>
  <si>
    <t xml:space="preserve">Kinder Hause Pediatrics - Kenneth ADHD/ADD Testing </t>
  </si>
  <si>
    <t>Dermatologist Copay - Kenneth</t>
  </si>
  <si>
    <t>Virtuosa OBGYN</t>
  </si>
  <si>
    <t xml:space="preserve">Integrative Appointment - Jamie </t>
  </si>
  <si>
    <t>Jamie - Geneva Diagnostics (Stool Sample Testing Requested from Annual Physical)</t>
  </si>
  <si>
    <t>Supergoop Sunscreen (Ulta)</t>
  </si>
  <si>
    <t>LMNT Electrolyte drinks</t>
  </si>
  <si>
    <t>Hill Country Endodontics (dentistry)</t>
  </si>
  <si>
    <t>Vision source-Jamie eye exam</t>
  </si>
  <si>
    <t>Full script-Jamie vitamins</t>
  </si>
  <si>
    <t>Visit with Integrative Family Medicine (Jamie, $100 already withdrawn from HSA as total was $385)</t>
  </si>
  <si>
    <t>What we Own (Assets)</t>
  </si>
  <si>
    <t>What we Owe (Debts)</t>
  </si>
  <si>
    <t>Networth</t>
  </si>
  <si>
    <t>Cash (Estimate of All Savings)</t>
  </si>
  <si>
    <t>Credit Card/Pay For Later</t>
  </si>
  <si>
    <t>Car - SC</t>
  </si>
  <si>
    <t>Student Loan Debt SC</t>
  </si>
  <si>
    <t>Car - HB</t>
  </si>
  <si>
    <t>Student Loan Debt HB</t>
  </si>
  <si>
    <t>Roth IRA - SC</t>
  </si>
  <si>
    <t>Medical Debt</t>
  </si>
  <si>
    <t>Roth IRA - HB</t>
  </si>
  <si>
    <t>NFCU Auto Loan</t>
  </si>
  <si>
    <t>Traditional IRA - SC</t>
  </si>
  <si>
    <t>Traditional IRA - HB</t>
  </si>
  <si>
    <t>Booz Allen Hamilton 401k- HB</t>
  </si>
  <si>
    <t>401K - SC</t>
  </si>
  <si>
    <t>College Savings 529</t>
  </si>
  <si>
    <t>Stocks/Crypto/BlockChain</t>
  </si>
  <si>
    <t>State of MD Retirement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</si>
</sst>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quot;$&quot;#,##0"/>
    <numFmt numFmtId="166" formatCode="mmmm d, yyyy h:mm:ss"/>
    <numFmt numFmtId="167" formatCode="M/d/yyyy"/>
    <numFmt numFmtId="168" formatCode="m/d/yyyy h:mm"/>
    <numFmt numFmtId="169" formatCode="m/d/yyyy"/>
  </numFmts>
  <fonts count="40">
    <font>
      <sz val="10.0"/>
      <color rgb="FF000000"/>
      <name val="Arial"/>
      <scheme val="minor"/>
    </font>
    <font>
      <b/>
      <color theme="1"/>
      <name val="Arial"/>
      <scheme val="minor"/>
    </font>
    <font>
      <color rgb="FF4A86E8"/>
      <name val="Arial"/>
      <scheme val="minor"/>
    </font>
    <font>
      <color theme="1"/>
      <name val="Arial"/>
      <scheme val="minor"/>
    </font>
    <font>
      <color rgb="FF004561"/>
      <name val="Arial"/>
      <scheme val="minor"/>
    </font>
    <font>
      <color theme="1"/>
      <name val="Arial"/>
    </font>
    <font>
      <b/>
      <sz val="12.0"/>
      <color rgb="FFE06666"/>
      <name val="Arial"/>
      <scheme val="minor"/>
    </font>
    <font>
      <b/>
      <color rgb="FF000000"/>
      <name val="Arial"/>
      <scheme val="minor"/>
    </font>
    <font>
      <b/>
      <u/>
      <color theme="1"/>
      <name val="Arial"/>
      <scheme val="minor"/>
    </font>
    <font>
      <b/>
      <u/>
      <color rgb="FF000000"/>
      <name val="Arial"/>
      <scheme val="minor"/>
    </font>
    <font>
      <b/>
      <u/>
      <color theme="1"/>
      <name val="Arial"/>
      <scheme val="minor"/>
    </font>
    <font>
      <b/>
      <u/>
      <color theme="1"/>
      <name val="Arial"/>
      <scheme val="minor"/>
    </font>
    <font>
      <color rgb="FF000000"/>
      <name val="Arial"/>
      <scheme val="minor"/>
    </font>
    <font>
      <b/>
      <color rgb="FF00FF00"/>
      <name val="Arial"/>
    </font>
    <font>
      <b/>
      <color rgb="FF38761D"/>
      <name val="Arial"/>
    </font>
    <font>
      <u/>
      <color rgb="FF000000"/>
    </font>
    <font>
      <b/>
      <color rgb="FF073763"/>
      <name val="Arial"/>
    </font>
    <font>
      <b/>
      <color rgb="FF3C78D8"/>
      <name val="Arial"/>
      <scheme val="minor"/>
    </font>
    <font>
      <b/>
      <color rgb="FFB45F06"/>
      <name val="Arial"/>
      <scheme val="minor"/>
    </font>
    <font>
      <b/>
      <u/>
      <color rgb="FF38761D"/>
      <name val="Arial"/>
    </font>
    <font>
      <i/>
      <color theme="1"/>
      <name val="Arial"/>
      <scheme val="minor"/>
    </font>
    <font>
      <color rgb="FFFF0000"/>
      <name val="Arial"/>
      <scheme val="minor"/>
    </font>
    <font>
      <b/>
      <color theme="8"/>
      <name val="Arial"/>
      <scheme val="minor"/>
    </font>
    <font>
      <b/>
      <sz val="10.0"/>
      <color theme="1"/>
      <name val="Arial"/>
    </font>
    <font>
      <sz val="10.0"/>
      <color theme="1"/>
      <name val="Arial"/>
    </font>
    <font>
      <b/>
      <color theme="1"/>
      <name val="Arial"/>
    </font>
    <font>
      <b/>
      <color rgb="FF0000FF"/>
      <name val="Arial"/>
      <scheme val="minor"/>
    </font>
    <font>
      <b/>
      <u/>
      <color theme="1"/>
      <name val="Arial"/>
      <scheme val="minor"/>
    </font>
    <font>
      <b/>
      <sz val="10.0"/>
      <color rgb="FFFF0000"/>
      <name val="Arial"/>
    </font>
    <font>
      <b/>
      <sz val="10.0"/>
      <color rgb="FF6AA84F"/>
      <name val="Arial"/>
    </font>
    <font>
      <b/>
      <sz val="10.0"/>
      <color rgb="FF000000"/>
      <name val="Arial"/>
    </font>
    <font>
      <b/>
      <sz val="10.0"/>
      <color rgb="FF7E3794"/>
      <name val="Arial"/>
    </font>
    <font>
      <color rgb="FF000000"/>
      <name val="Roboto"/>
    </font>
    <font>
      <u/>
      <color rgb="FF1155CC"/>
      <name val="Arial"/>
      <scheme val="minor"/>
    </font>
    <font>
      <u/>
      <color rgb="FF0000FF"/>
    </font>
    <font>
      <b/>
      <u/>
      <color theme="1"/>
      <name val="Arial"/>
      <scheme val="minor"/>
    </font>
    <font>
      <b/>
      <u/>
      <color theme="1"/>
      <name val="Arial"/>
      <scheme val="minor"/>
    </font>
    <font>
      <b/>
      <u/>
      <color theme="1"/>
      <name val="Arial"/>
      <scheme val="minor"/>
    </font>
    <font>
      <color rgb="FF000000"/>
      <name val="Arial"/>
    </font>
    <font>
      <color rgb="FFE06666"/>
      <name val="Arial"/>
      <scheme val="minor"/>
    </font>
  </fonts>
  <fills count="20">
    <fill>
      <patternFill patternType="none"/>
    </fill>
    <fill>
      <patternFill patternType="lightGray"/>
    </fill>
    <fill>
      <patternFill patternType="solid">
        <fgColor rgb="FFB7E1CD"/>
        <bgColor rgb="FFB7E1CD"/>
      </patternFill>
    </fill>
    <fill>
      <patternFill patternType="solid">
        <fgColor rgb="FFFFFF00"/>
        <bgColor rgb="FFFFFF00"/>
      </patternFill>
    </fill>
    <fill>
      <patternFill patternType="solid">
        <fgColor rgb="FFFF9900"/>
        <bgColor rgb="FFFF9900"/>
      </patternFill>
    </fill>
    <fill>
      <patternFill patternType="solid">
        <fgColor rgb="FF93C47D"/>
        <bgColor rgb="FF93C47D"/>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rgb="FFEA9999"/>
        <bgColor rgb="FFEA9999"/>
      </patternFill>
    </fill>
    <fill>
      <patternFill patternType="solid">
        <fgColor rgb="FFC9DAF8"/>
        <bgColor rgb="FFC9DAF8"/>
      </patternFill>
    </fill>
    <fill>
      <patternFill patternType="solid">
        <fgColor theme="0"/>
        <bgColor theme="0"/>
      </patternFill>
    </fill>
    <fill>
      <patternFill patternType="solid">
        <fgColor rgb="FFF1C232"/>
        <bgColor rgb="FFF1C232"/>
      </patternFill>
    </fill>
    <fill>
      <patternFill patternType="solid">
        <fgColor rgb="FFD5A6BD"/>
        <bgColor rgb="FFD5A6BD"/>
      </patternFill>
    </fill>
    <fill>
      <patternFill patternType="solid">
        <fgColor rgb="FFEFEFEF"/>
        <bgColor rgb="FFEFEFEF"/>
      </patternFill>
    </fill>
    <fill>
      <patternFill patternType="solid">
        <fgColor rgb="FFE6B8AF"/>
        <bgColor rgb="FFE6B8AF"/>
      </patternFill>
    </fill>
    <fill>
      <patternFill patternType="solid">
        <fgColor rgb="FFFCE5CD"/>
        <bgColor rgb="FFFCE5CD"/>
      </patternFill>
    </fill>
    <fill>
      <patternFill patternType="solid">
        <fgColor rgb="FFCFE2F3"/>
        <bgColor rgb="FFCFE2F3"/>
      </patternFill>
    </fill>
    <fill>
      <patternFill patternType="solid">
        <fgColor rgb="FFFFE599"/>
        <bgColor rgb="FFFFE599"/>
      </patternFill>
    </fill>
    <fill>
      <patternFill patternType="solid">
        <fgColor rgb="FFB6D7A8"/>
        <bgColor rgb="FFB6D7A8"/>
      </patternFill>
    </fill>
  </fills>
  <borders count="12">
    <border/>
    <border>
      <left style="thick">
        <color rgb="FF5891AD"/>
      </left>
      <right style="thick">
        <color rgb="FF5891AD"/>
      </right>
      <top style="thick">
        <color rgb="FF5891AD"/>
      </top>
    </border>
    <border>
      <left style="thick">
        <color rgb="FF5891AD"/>
      </left>
      <right style="thick">
        <color rgb="FF5891AD"/>
      </right>
      <bottom style="thick">
        <color rgb="FF5891AD"/>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border>
    <border>
      <right style="medium">
        <color rgb="FF5891AD"/>
      </right>
      <bottom style="thick">
        <color rgb="FF5891AD"/>
      </bottom>
    </border>
    <border>
      <bottom style="thick">
        <color rgb="FF5891AD"/>
      </bottom>
    </border>
    <border>
      <left style="thin">
        <color rgb="FF000000"/>
      </left>
      <right style="thin">
        <color rgb="FF000000"/>
      </right>
      <bottom style="thick">
        <color rgb="FF5891AD"/>
      </bottom>
    </border>
    <border>
      <right style="medium">
        <color rgb="FF5891AD"/>
      </right>
    </border>
    <border>
      <left style="thin">
        <color rgb="FF000000"/>
      </left>
      <right style="thin">
        <color rgb="FF000000"/>
      </right>
      <bottom style="thin">
        <color rgb="FF000000"/>
      </bottom>
    </border>
    <border>
      <left style="thin">
        <color rgb="FF000000"/>
      </left>
      <top style="thin">
        <color rgb="FF000000"/>
      </top>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0" fillId="2" fontId="1" numFmtId="164" xfId="0" applyAlignment="1" applyFill="1" applyFont="1" applyNumberFormat="1">
      <alignment readingOrder="0" shrinkToFit="0" wrapText="1"/>
    </xf>
    <xf borderId="0" fillId="0" fontId="1" numFmtId="0" xfId="0" applyAlignment="1" applyFont="1">
      <alignment readingOrder="0" shrinkToFit="0" wrapText="1"/>
    </xf>
    <xf borderId="0" fillId="0" fontId="2" numFmtId="0" xfId="0" applyFont="1"/>
    <xf borderId="0" fillId="2" fontId="3" numFmtId="164" xfId="0" applyAlignment="1" applyFont="1" applyNumberFormat="1">
      <alignment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3" numFmtId="164" xfId="0" applyAlignment="1" applyFont="1" applyNumberForma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2" fontId="1" numFmtId="164" xfId="0" applyAlignment="1" applyFont="1" applyNumberFormat="1">
      <alignment shrinkToFit="0" wrapText="1"/>
    </xf>
    <xf borderId="0" fillId="3" fontId="1" numFmtId="0" xfId="0" applyAlignment="1" applyFill="1" applyFont="1">
      <alignment readingOrder="0"/>
    </xf>
    <xf borderId="0" fillId="0" fontId="3" numFmtId="0" xfId="0" applyAlignment="1" applyFont="1">
      <alignment shrinkToFit="0" wrapText="1"/>
    </xf>
    <xf borderId="0" fillId="2" fontId="1" numFmtId="0" xfId="0" applyAlignment="1" applyFont="1">
      <alignment readingOrder="0" shrinkToFit="0" wrapText="1"/>
    </xf>
    <xf borderId="0" fillId="0" fontId="1" numFmtId="0" xfId="0" applyAlignment="1" applyFont="1">
      <alignment readingOrder="0"/>
    </xf>
    <xf borderId="0" fillId="2" fontId="5" numFmtId="164" xfId="0" applyAlignment="1" applyFont="1" applyNumberFormat="1">
      <alignment horizontal="right" readingOrder="0" shrinkToFit="0" vertical="bottom" wrapText="1"/>
    </xf>
    <xf borderId="0" fillId="0" fontId="5" numFmtId="0" xfId="0" applyAlignment="1" applyFont="1">
      <alignment readingOrder="0" vertical="bottom"/>
    </xf>
    <xf borderId="0" fillId="0" fontId="5" numFmtId="0" xfId="0" applyAlignment="1" applyFont="1">
      <alignment readingOrder="0" shrinkToFit="0" vertical="bottom" wrapText="1"/>
    </xf>
    <xf borderId="0" fillId="0" fontId="5" numFmtId="0" xfId="0" applyAlignment="1" applyFont="1">
      <alignment vertical="bottom"/>
    </xf>
    <xf borderId="0" fillId="0" fontId="6" numFmtId="0" xfId="0" applyAlignment="1" applyFont="1">
      <alignment readingOrder="0" shrinkToFit="0" wrapText="1"/>
    </xf>
    <xf borderId="0" fillId="4" fontId="1" numFmtId="0" xfId="0" applyAlignment="1" applyFill="1" applyFont="1">
      <alignment horizontal="center" readingOrder="0" shrinkToFit="0" wrapText="1"/>
    </xf>
    <xf borderId="0" fillId="5" fontId="3" numFmtId="0" xfId="0" applyAlignment="1" applyFill="1" applyFont="1">
      <alignment readingOrder="0"/>
    </xf>
    <xf borderId="0" fillId="6" fontId="3" numFmtId="0" xfId="0" applyAlignment="1" applyFill="1" applyFont="1">
      <alignment readingOrder="0"/>
    </xf>
    <xf borderId="0" fillId="0" fontId="3" numFmtId="165" xfId="0" applyAlignment="1" applyFont="1" applyNumberFormat="1">
      <alignment readingOrder="0"/>
    </xf>
    <xf borderId="0" fillId="0" fontId="3" numFmtId="164" xfId="0" applyAlignment="1" applyFont="1" applyNumberFormat="1">
      <alignment readingOrder="0"/>
    </xf>
    <xf borderId="0" fillId="0" fontId="3" numFmtId="164" xfId="0" applyAlignment="1" applyFont="1" applyNumberFormat="1">
      <alignment readingOrder="0" shrinkToFit="0" wrapText="1"/>
    </xf>
    <xf borderId="0" fillId="7" fontId="7" numFmtId="164" xfId="0" applyAlignment="1" applyFill="1" applyFont="1" applyNumberFormat="1">
      <alignment readingOrder="0"/>
    </xf>
    <xf borderId="0" fillId="3" fontId="7" numFmtId="0" xfId="0" applyAlignment="1" applyFont="1">
      <alignment readingOrder="0" shrinkToFit="0" wrapText="1"/>
    </xf>
    <xf borderId="0" fillId="0" fontId="1" numFmtId="164" xfId="0" applyAlignment="1" applyFont="1" applyNumberFormat="1">
      <alignment readingOrder="0"/>
    </xf>
    <xf borderId="0" fillId="4" fontId="7" numFmtId="0" xfId="0" applyAlignment="1" applyFont="1">
      <alignment readingOrder="0" shrinkToFit="0" wrapText="1"/>
    </xf>
    <xf borderId="0" fillId="0" fontId="1" numFmtId="0" xfId="0" applyAlignment="1" applyFont="1">
      <alignment shrinkToFit="0" wrapText="1"/>
    </xf>
    <xf borderId="0" fillId="0" fontId="1" numFmtId="0" xfId="0" applyFont="1"/>
    <xf borderId="0" fillId="0" fontId="8" numFmtId="164" xfId="0" applyAlignment="1" applyFont="1" applyNumberFormat="1">
      <alignment readingOrder="0" vertical="bottom"/>
    </xf>
    <xf borderId="0" fillId="0" fontId="9" numFmtId="0" xfId="0" applyAlignment="1" applyFont="1">
      <alignment readingOrder="0" shrinkToFit="0" vertical="bottom" wrapText="1"/>
    </xf>
    <xf borderId="0" fillId="0" fontId="10" numFmtId="0" xfId="0" applyAlignment="1" applyFont="1">
      <alignment readingOrder="0" shrinkToFit="0" vertical="bottom" wrapText="1"/>
    </xf>
    <xf borderId="0" fillId="0" fontId="11" numFmtId="0" xfId="0" applyAlignment="1" applyFont="1">
      <alignment readingOrder="0" shrinkToFit="0" wrapText="1"/>
    </xf>
    <xf borderId="0" fillId="8" fontId="3" numFmtId="164" xfId="0" applyAlignment="1" applyFill="1" applyFont="1" applyNumberFormat="1">
      <alignment readingOrder="0"/>
    </xf>
    <xf borderId="0" fillId="9" fontId="12" numFmtId="0" xfId="0" applyAlignment="1" applyFill="1" applyFont="1">
      <alignment readingOrder="0" shrinkToFit="0" wrapText="1"/>
    </xf>
    <xf borderId="0" fillId="8" fontId="13" numFmtId="0" xfId="0" applyAlignment="1" applyFont="1">
      <alignment horizontal="left" readingOrder="0" shrinkToFit="0" wrapText="1"/>
    </xf>
    <xf borderId="0" fillId="8" fontId="14" numFmtId="0" xfId="0" applyAlignment="1" applyFont="1">
      <alignment horizontal="left" readingOrder="0" shrinkToFit="0" wrapText="1"/>
    </xf>
    <xf borderId="0" fillId="9" fontId="15" numFmtId="0" xfId="0" applyAlignment="1" applyFont="1">
      <alignment readingOrder="0" shrinkToFit="0" wrapText="1"/>
    </xf>
    <xf borderId="0" fillId="8" fontId="16" numFmtId="0" xfId="0" applyAlignment="1" applyFont="1">
      <alignment horizontal="left" readingOrder="0" shrinkToFit="0" wrapText="1"/>
    </xf>
    <xf borderId="0" fillId="0" fontId="17" numFmtId="0" xfId="0" applyAlignment="1" applyFont="1">
      <alignment readingOrder="0" shrinkToFit="0" wrapText="1"/>
    </xf>
    <xf borderId="0" fillId="9" fontId="3" numFmtId="0" xfId="0" applyAlignment="1" applyFont="1">
      <alignment readingOrder="0" shrinkToFit="0" wrapText="1"/>
    </xf>
    <xf borderId="0" fillId="0" fontId="18" numFmtId="0" xfId="0" applyAlignment="1" applyFont="1">
      <alignment readingOrder="0" shrinkToFit="0" wrapText="1"/>
    </xf>
    <xf borderId="0" fillId="8" fontId="19" numFmtId="0" xfId="0" applyAlignment="1" applyFont="1">
      <alignment horizontal="left" readingOrder="0"/>
    </xf>
    <xf borderId="0" fillId="8" fontId="12" numFmtId="164" xfId="0" applyAlignment="1" applyFont="1" applyNumberFormat="1">
      <alignment readingOrder="0"/>
    </xf>
    <xf borderId="0" fillId="9" fontId="12" numFmtId="0" xfId="0" applyAlignment="1" applyFont="1">
      <alignment readingOrder="0" shrinkToFit="0"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Font="1"/>
    <xf borderId="0" fillId="0" fontId="3" numFmtId="0" xfId="0" applyAlignment="1" applyFont="1">
      <alignment readingOrder="0" shrinkToFit="0" wrapText="1"/>
    </xf>
    <xf borderId="0" fillId="0" fontId="20" numFmtId="0" xfId="0" applyFont="1"/>
    <xf borderId="0" fillId="0" fontId="20" numFmtId="0" xfId="0" applyAlignment="1" applyFont="1">
      <alignment readingOrder="0" shrinkToFit="0" wrapText="1"/>
    </xf>
    <xf borderId="0" fillId="2" fontId="3" numFmtId="164" xfId="0" applyAlignment="1" applyFont="1" applyNumberFormat="1">
      <alignment readingOrder="0"/>
    </xf>
    <xf borderId="0" fillId="0" fontId="21" numFmtId="0" xfId="0" applyAlignment="1" applyFont="1">
      <alignment readingOrder="0" shrinkToFit="0" wrapText="1"/>
    </xf>
    <xf borderId="0" fillId="3" fontId="1" numFmtId="164" xfId="0" applyFont="1" applyNumberFormat="1"/>
    <xf borderId="0" fillId="9" fontId="7" numFmtId="0" xfId="0" applyAlignment="1" applyFont="1">
      <alignment readingOrder="0" shrinkToFit="0" wrapText="1"/>
    </xf>
    <xf borderId="1" fillId="0" fontId="1" numFmtId="0" xfId="0" applyAlignment="1" applyBorder="1" applyFont="1">
      <alignment readingOrder="0"/>
    </xf>
    <xf borderId="0" fillId="8" fontId="3" numFmtId="164" xfId="0" applyFont="1" applyNumberFormat="1"/>
    <xf borderId="2" fillId="10" fontId="1" numFmtId="164" xfId="0" applyBorder="1" applyFill="1" applyFont="1" applyNumberFormat="1"/>
    <xf borderId="0" fillId="3" fontId="22" numFmtId="164" xfId="0" applyFont="1" applyNumberFormat="1"/>
    <xf borderId="0" fillId="3" fontId="22" numFmtId="0" xfId="0" applyAlignment="1" applyFont="1">
      <alignment readingOrder="0" shrinkToFit="0" wrapText="1"/>
    </xf>
    <xf borderId="3" fillId="0" fontId="1" numFmtId="164" xfId="0" applyAlignment="1" applyBorder="1" applyFont="1" applyNumberFormat="1">
      <alignment horizontal="left" readingOrder="0" shrinkToFit="0" vertical="center" wrapText="0"/>
    </xf>
    <xf borderId="4" fillId="0" fontId="1" numFmtId="164" xfId="0" applyAlignment="1" applyBorder="1" applyFont="1" applyNumberFormat="1">
      <alignment horizontal="left" readingOrder="0" shrinkToFit="0" vertical="center" wrapText="1"/>
    </xf>
    <xf borderId="0" fillId="0" fontId="1" numFmtId="0" xfId="0" applyAlignment="1" applyFont="1">
      <alignment horizontal="left" readingOrder="0" shrinkToFit="0" vertical="center" wrapText="0"/>
    </xf>
    <xf borderId="5" fillId="8" fontId="23" numFmtId="0" xfId="0" applyBorder="1" applyFill="1" applyFont="1"/>
    <xf borderId="5" fillId="7" fontId="3" numFmtId="164" xfId="0" applyAlignment="1" applyBorder="1" applyFont="1" applyNumberFormat="1">
      <alignment readingOrder="0" shrinkToFit="0" vertical="center" wrapText="0"/>
    </xf>
    <xf borderId="4" fillId="7" fontId="3" numFmtId="164" xfId="0" applyAlignment="1" applyBorder="1" applyFont="1" applyNumberFormat="1">
      <alignment readingOrder="0" shrinkToFit="0" vertical="center" wrapText="0"/>
    </xf>
    <xf borderId="0" fillId="7" fontId="3" numFmtId="166" xfId="0" applyAlignment="1" applyFont="1" applyNumberFormat="1">
      <alignment readingOrder="0" shrinkToFit="0" vertical="center" wrapText="0"/>
    </xf>
    <xf borderId="0" fillId="0" fontId="3" numFmtId="0" xfId="0" applyAlignment="1" applyFont="1">
      <alignment readingOrder="0" shrinkToFit="0" vertical="center" wrapText="0"/>
    </xf>
    <xf borderId="5" fillId="8" fontId="24" numFmtId="0" xfId="0" applyBorder="1" applyFont="1"/>
    <xf borderId="4" fillId="7" fontId="3" numFmtId="164" xfId="0" applyAlignment="1" applyBorder="1" applyFont="1" applyNumberFormat="1">
      <alignment readingOrder="0" shrinkToFit="0" vertical="center" wrapText="1"/>
    </xf>
    <xf borderId="5" fillId="0" fontId="3" numFmtId="164" xfId="0" applyAlignment="1" applyBorder="1" applyFont="1" applyNumberFormat="1">
      <alignment readingOrder="0" shrinkToFit="0" vertical="center" wrapText="0"/>
    </xf>
    <xf borderId="4" fillId="0" fontId="3" numFmtId="164" xfId="0" applyAlignment="1" applyBorder="1" applyFont="1" applyNumberFormat="1">
      <alignment readingOrder="0" shrinkToFit="0" vertical="center" wrapText="0"/>
    </xf>
    <xf borderId="0" fillId="0" fontId="3" numFmtId="166" xfId="0" applyAlignment="1" applyFont="1" applyNumberFormat="1">
      <alignment readingOrder="0" shrinkToFit="0" vertical="center" wrapText="0"/>
    </xf>
    <xf borderId="4" fillId="0" fontId="3" numFmtId="164" xfId="0" applyAlignment="1" applyBorder="1" applyFont="1" applyNumberFormat="1">
      <alignment readingOrder="0" shrinkToFit="0" vertical="center" wrapText="1"/>
    </xf>
    <xf borderId="5" fillId="0" fontId="3" numFmtId="49" xfId="0" applyAlignment="1" applyBorder="1" applyFont="1" applyNumberFormat="1">
      <alignment readingOrder="0" shrinkToFit="0" vertical="center" wrapText="0"/>
    </xf>
    <xf borderId="0" fillId="11" fontId="3" numFmtId="166" xfId="0" applyAlignment="1" applyFill="1" applyFont="1" applyNumberFormat="1">
      <alignment readingOrder="0" shrinkToFit="0" vertical="center" wrapText="0"/>
    </xf>
    <xf borderId="3" fillId="9" fontId="1" numFmtId="164" xfId="0" applyAlignment="1" applyBorder="1" applyFont="1" applyNumberFormat="1">
      <alignment readingOrder="0" shrinkToFit="0" vertical="center" wrapText="0"/>
    </xf>
    <xf borderId="4" fillId="0" fontId="3" numFmtId="164" xfId="0" applyAlignment="1" applyBorder="1" applyFont="1" applyNumberFormat="1">
      <alignment shrinkToFit="0" vertical="center" wrapText="1"/>
    </xf>
    <xf borderId="0" fillId="0" fontId="3" numFmtId="166" xfId="0" applyAlignment="1" applyFont="1" applyNumberFormat="1">
      <alignment shrinkToFit="0" vertical="center" wrapText="0"/>
    </xf>
    <xf borderId="0" fillId="0" fontId="3" numFmtId="0" xfId="0" applyAlignment="1" applyFont="1">
      <alignment shrinkToFit="0" vertical="center" wrapText="0"/>
    </xf>
    <xf borderId="3" fillId="9" fontId="1" numFmtId="49" xfId="0" applyAlignment="1" applyBorder="1" applyFont="1" applyNumberFormat="1">
      <alignment shrinkToFit="0" vertical="center" wrapText="0"/>
    </xf>
    <xf borderId="0" fillId="0" fontId="1" numFmtId="164" xfId="0" applyFont="1" applyNumberFormat="1"/>
    <xf borderId="0" fillId="0" fontId="3" numFmtId="164" xfId="0" applyAlignment="1" applyFont="1" applyNumberFormat="1">
      <alignment horizontal="left" shrinkToFit="0" wrapText="1"/>
    </xf>
    <xf borderId="0" fillId="0" fontId="3" numFmtId="167" xfId="0" applyAlignment="1" applyFont="1" applyNumberFormat="1">
      <alignment horizontal="left"/>
    </xf>
    <xf borderId="5" fillId="0" fontId="25" numFmtId="0" xfId="0" applyBorder="1" applyFont="1"/>
    <xf borderId="6" fillId="0" fontId="26" numFmtId="164" xfId="0" applyAlignment="1" applyBorder="1" applyFont="1" applyNumberFormat="1">
      <alignment readingOrder="0"/>
    </xf>
    <xf borderId="7" fillId="12" fontId="1" numFmtId="0" xfId="0" applyAlignment="1" applyBorder="1" applyFill="1" applyFont="1">
      <alignment readingOrder="0" shrinkToFit="0" wrapText="1"/>
    </xf>
    <xf borderId="7" fillId="0" fontId="1" numFmtId="0" xfId="0" applyAlignment="1" applyBorder="1" applyFont="1">
      <alignment readingOrder="0" shrinkToFit="0" wrapText="1"/>
    </xf>
    <xf borderId="8" fillId="9" fontId="7" numFmtId="164" xfId="0" applyAlignment="1" applyBorder="1" applyFont="1" applyNumberFormat="1">
      <alignment readingOrder="0"/>
    </xf>
    <xf borderId="7" fillId="9" fontId="1" numFmtId="0" xfId="0" applyAlignment="1" applyBorder="1" applyFont="1">
      <alignment readingOrder="0"/>
    </xf>
    <xf borderId="8" fillId="13" fontId="23" numFmtId="0" xfId="0" applyAlignment="1" applyBorder="1" applyFill="1" applyFont="1">
      <alignment readingOrder="0" shrinkToFit="0" wrapText="1"/>
    </xf>
    <xf borderId="9" fillId="0" fontId="1" numFmtId="164" xfId="0" applyBorder="1" applyFont="1" applyNumberFormat="1"/>
    <xf borderId="5" fillId="0" fontId="3" numFmtId="164" xfId="0" applyAlignment="1" applyBorder="1" applyFont="1" applyNumberFormat="1">
      <alignment readingOrder="0"/>
    </xf>
    <xf borderId="0" fillId="0" fontId="3" numFmtId="168" xfId="0" applyAlignment="1" applyFont="1" applyNumberFormat="1">
      <alignment readingOrder="0"/>
    </xf>
    <xf borderId="9" fillId="0" fontId="1" numFmtId="164" xfId="0" applyAlignment="1" applyBorder="1" applyFont="1" applyNumberFormat="1">
      <alignment readingOrder="0"/>
    </xf>
    <xf borderId="0" fillId="0" fontId="27" numFmtId="0" xfId="0" applyAlignment="1" applyFont="1">
      <alignment readingOrder="0" shrinkToFit="0" wrapText="1"/>
    </xf>
    <xf borderId="5" fillId="8" fontId="28" numFmtId="0" xfId="0" applyBorder="1" applyFont="1"/>
    <xf borderId="9" fillId="7" fontId="1" numFmtId="164" xfId="0" applyAlignment="1" applyBorder="1" applyFont="1" applyNumberFormat="1">
      <alignment readingOrder="0"/>
    </xf>
    <xf borderId="0" fillId="7" fontId="3" numFmtId="0" xfId="0" applyAlignment="1" applyFont="1">
      <alignment readingOrder="0" shrinkToFit="0" wrapText="1"/>
    </xf>
    <xf borderId="0" fillId="7" fontId="1" numFmtId="0" xfId="0" applyAlignment="1" applyFont="1">
      <alignment readingOrder="0" shrinkToFit="0" wrapText="1"/>
    </xf>
    <xf borderId="5" fillId="0" fontId="3" numFmtId="164" xfId="0" applyAlignment="1" applyBorder="1" applyFont="1" applyNumberFormat="1">
      <alignment horizontal="left" readingOrder="0"/>
    </xf>
    <xf borderId="5" fillId="0" fontId="29" numFmtId="0" xfId="0" applyBorder="1" applyFont="1"/>
    <xf borderId="5" fillId="8" fontId="29" numFmtId="0" xfId="0" applyBorder="1" applyFont="1"/>
    <xf borderId="0" fillId="12" fontId="1" numFmtId="0" xfId="0" applyAlignment="1" applyFont="1">
      <alignment readingOrder="0" shrinkToFit="0" wrapText="1"/>
    </xf>
    <xf borderId="5" fillId="8" fontId="28" numFmtId="0" xfId="0" applyBorder="1" applyFont="1"/>
    <xf borderId="5" fillId="0" fontId="3" numFmtId="164" xfId="0" applyBorder="1" applyFont="1" applyNumberFormat="1"/>
    <xf borderId="0" fillId="0" fontId="3" numFmtId="0" xfId="0" applyFont="1"/>
    <xf borderId="0" fillId="0" fontId="3" numFmtId="164" xfId="0" applyFont="1" applyNumberFormat="1"/>
    <xf borderId="0" fillId="0" fontId="3" numFmtId="169" xfId="0" applyAlignment="1" applyFont="1" applyNumberFormat="1">
      <alignment readingOrder="0"/>
    </xf>
    <xf borderId="5" fillId="8" fontId="30" numFmtId="0" xfId="0" applyBorder="1" applyFont="1"/>
    <xf borderId="0" fillId="8" fontId="23" numFmtId="0" xfId="0" applyFont="1"/>
    <xf borderId="5" fillId="0" fontId="31" numFmtId="0" xfId="0" applyBorder="1" applyFont="1"/>
    <xf borderId="5" fillId="0" fontId="23" numFmtId="0" xfId="0" applyBorder="1" applyFont="1"/>
    <xf borderId="0" fillId="14" fontId="1" numFmtId="164" xfId="0" applyAlignment="1" applyFill="1" applyFont="1" applyNumberFormat="1">
      <alignment horizontal="left" readingOrder="0"/>
    </xf>
    <xf borderId="0" fillId="0" fontId="1" numFmtId="164" xfId="0" applyAlignment="1" applyFont="1" applyNumberFormat="1">
      <alignment horizontal="left" readingOrder="0"/>
    </xf>
    <xf borderId="0" fillId="14" fontId="1" numFmtId="0" xfId="0" applyAlignment="1" applyFont="1">
      <alignment horizontal="left" readingOrder="0" shrinkToFit="0" wrapText="1"/>
    </xf>
    <xf borderId="0" fillId="14" fontId="3" numFmtId="164" xfId="0" applyAlignment="1" applyFont="1" applyNumberFormat="1">
      <alignment horizontal="left" readingOrder="0"/>
    </xf>
    <xf borderId="0" fillId="14" fontId="3" numFmtId="165" xfId="0" applyAlignment="1" applyFont="1" applyNumberFormat="1">
      <alignment horizontal="left" readingOrder="0" shrinkToFit="0" wrapText="1"/>
    </xf>
    <xf borderId="0" fillId="0" fontId="3" numFmtId="165" xfId="0" applyAlignment="1" applyFont="1" applyNumberFormat="1">
      <alignment readingOrder="0" shrinkToFit="0" wrapText="1"/>
    </xf>
    <xf borderId="0" fillId="8" fontId="32" numFmtId="0" xfId="0" applyAlignment="1" applyFont="1">
      <alignment readingOrder="0" shrinkToFit="0" wrapText="1"/>
    </xf>
    <xf borderId="0" fillId="3" fontId="3" numFmtId="0" xfId="0" applyAlignment="1" applyFont="1">
      <alignment readingOrder="0" shrinkToFit="0" wrapText="1"/>
    </xf>
    <xf borderId="0" fillId="0" fontId="3" numFmtId="164" xfId="0" applyAlignment="1" applyFont="1" applyNumberFormat="1">
      <alignment horizontal="left" readingOrder="0"/>
    </xf>
    <xf borderId="0" fillId="14" fontId="3" numFmtId="164" xfId="0" applyAlignment="1" applyFont="1" applyNumberFormat="1">
      <alignment horizontal="left" readingOrder="0" shrinkToFit="0" wrapText="1"/>
    </xf>
    <xf borderId="0" fillId="0" fontId="33" numFmtId="0" xfId="0" applyAlignment="1" applyFont="1">
      <alignment readingOrder="0" shrinkToFit="0" wrapText="1"/>
    </xf>
    <xf borderId="3" fillId="15" fontId="1" numFmtId="0" xfId="0" applyAlignment="1" applyBorder="1" applyFill="1" applyFont="1">
      <alignment horizontal="left" readingOrder="0"/>
    </xf>
    <xf borderId="3" fillId="16" fontId="1" numFmtId="164" xfId="0" applyAlignment="1" applyBorder="1" applyFill="1" applyFont="1" applyNumberFormat="1">
      <alignment horizontal="left"/>
    </xf>
    <xf borderId="3" fillId="2" fontId="1" numFmtId="0" xfId="0" applyAlignment="1" applyBorder="1" applyFont="1">
      <alignment horizontal="left" readingOrder="0"/>
    </xf>
    <xf borderId="0" fillId="11" fontId="1" numFmtId="0" xfId="0" applyAlignment="1" applyFont="1">
      <alignment readingOrder="0" shrinkToFit="0" wrapText="1"/>
    </xf>
    <xf borderId="10" fillId="15" fontId="1" numFmtId="164" xfId="0" applyAlignment="1" applyBorder="1" applyFont="1" applyNumberFormat="1">
      <alignment horizontal="left"/>
    </xf>
    <xf borderId="10" fillId="16" fontId="1" numFmtId="164" xfId="0" applyAlignment="1" applyBorder="1" applyFont="1" applyNumberFormat="1">
      <alignment horizontal="left"/>
    </xf>
    <xf borderId="3" fillId="2" fontId="1" numFmtId="164" xfId="0" applyAlignment="1" applyBorder="1" applyFont="1" applyNumberFormat="1">
      <alignment horizontal="left" readingOrder="0"/>
    </xf>
    <xf borderId="0" fillId="0" fontId="3" numFmtId="0" xfId="0" applyAlignment="1" applyFont="1">
      <alignment horizontal="left"/>
    </xf>
    <xf borderId="0" fillId="14" fontId="3" numFmtId="164" xfId="0" applyAlignment="1" applyFont="1" applyNumberFormat="1">
      <alignment horizontal="left"/>
    </xf>
    <xf borderId="0" fillId="0" fontId="3" numFmtId="164" xfId="0" applyAlignment="1" applyFont="1" applyNumberFormat="1">
      <alignment horizontal="left"/>
    </xf>
    <xf borderId="0" fillId="14" fontId="3" numFmtId="0" xfId="0" applyAlignment="1" applyFont="1">
      <alignment horizontal="left" shrinkToFit="0" wrapText="1"/>
    </xf>
    <xf borderId="0" fillId="0" fontId="1" numFmtId="0" xfId="0" applyAlignment="1" applyFont="1">
      <alignment horizontal="center" readingOrder="0"/>
    </xf>
    <xf borderId="11" fillId="2" fontId="1" numFmtId="0" xfId="0" applyAlignment="1" applyBorder="1" applyFont="1">
      <alignment readingOrder="0"/>
    </xf>
    <xf borderId="0" fillId="17" fontId="1" numFmtId="0" xfId="0" applyAlignment="1" applyFill="1" applyFont="1">
      <alignment readingOrder="0"/>
    </xf>
    <xf borderId="0" fillId="0" fontId="3" numFmtId="0" xfId="0" applyAlignment="1" applyFont="1">
      <alignment shrinkToFit="0" wrapText="1"/>
    </xf>
    <xf borderId="0" fillId="2" fontId="1" numFmtId="164" xfId="0" applyFont="1" applyNumberFormat="1"/>
    <xf borderId="0" fillId="17" fontId="1" numFmtId="164" xfId="0" applyFont="1" applyNumberFormat="1"/>
    <xf borderId="0" fillId="0" fontId="3" numFmtId="0" xfId="0" applyFont="1"/>
    <xf borderId="0" fillId="0" fontId="3" numFmtId="164" xfId="0" applyAlignment="1" applyFont="1" applyNumberFormat="1">
      <alignment readingOrder="0"/>
    </xf>
    <xf borderId="0" fillId="0" fontId="34" numFmtId="0" xfId="0" applyAlignment="1" applyFont="1">
      <alignment shrinkToFit="0" wrapText="1"/>
    </xf>
    <xf borderId="0" fillId="0" fontId="5" numFmtId="164" xfId="0" applyAlignment="1" applyFont="1" applyNumberFormat="1">
      <alignment horizontal="right" vertical="bottom"/>
    </xf>
    <xf borderId="0" fillId="0" fontId="5" numFmtId="0" xfId="0" applyAlignment="1" applyFont="1">
      <alignment shrinkToFit="0" vertical="bottom" wrapText="1"/>
    </xf>
    <xf borderId="0" fillId="0" fontId="5" numFmtId="0" xfId="0" applyAlignment="1" applyFont="1">
      <alignment horizontal="right" vertical="bottom"/>
    </xf>
    <xf borderId="0" fillId="0" fontId="5" numFmtId="0" xfId="0" applyAlignment="1" applyFont="1">
      <alignment horizontal="right" readingOrder="0" vertical="bottom"/>
    </xf>
    <xf borderId="0" fillId="0" fontId="5" numFmtId="164" xfId="0" applyAlignment="1" applyFont="1" applyNumberFormat="1">
      <alignment horizontal="right" readingOrder="0" vertical="bottom"/>
    </xf>
    <xf borderId="0" fillId="17" fontId="35" numFmtId="0" xfId="0" applyAlignment="1" applyFont="1">
      <alignment readingOrder="0"/>
    </xf>
    <xf borderId="0" fillId="9" fontId="36" numFmtId="0" xfId="0" applyAlignment="1" applyFont="1">
      <alignment readingOrder="0"/>
    </xf>
    <xf borderId="0" fillId="0" fontId="37" numFmtId="0" xfId="0" applyAlignment="1" applyFont="1">
      <alignment readingOrder="0"/>
    </xf>
    <xf borderId="0" fillId="17" fontId="3" numFmtId="164" xfId="0" applyAlignment="1" applyFont="1" applyNumberFormat="1">
      <alignment readingOrder="0"/>
    </xf>
    <xf borderId="0" fillId="9" fontId="3" numFmtId="164" xfId="0" applyFont="1" applyNumberFormat="1"/>
    <xf borderId="0" fillId="17" fontId="1" numFmtId="164" xfId="0" applyAlignment="1" applyFont="1" applyNumberFormat="1">
      <alignment readingOrder="0"/>
    </xf>
    <xf borderId="0" fillId="9" fontId="3" numFmtId="164" xfId="0" applyAlignment="1" applyFont="1" applyNumberFormat="1">
      <alignment readingOrder="0"/>
    </xf>
    <xf borderId="0" fillId="8" fontId="38" numFmtId="0" xfId="0" applyAlignment="1" applyFont="1">
      <alignment horizontal="left" readingOrder="0"/>
    </xf>
    <xf borderId="0" fillId="0" fontId="39" numFmtId="0" xfId="0" applyFont="1"/>
    <xf borderId="0" fillId="0" fontId="1" numFmtId="0" xfId="0" applyAlignment="1" applyFont="1">
      <alignment horizontal="right" readingOrder="0"/>
    </xf>
    <xf borderId="0" fillId="18" fontId="1" numFmtId="164" xfId="0" applyFill="1" applyFont="1" applyNumberFormat="1"/>
    <xf borderId="0" fillId="19" fontId="1" numFmtId="164" xfId="0" applyFill="1" applyFont="1" applyNumberFormat="1"/>
  </cellXfs>
  <cellStyles count="1">
    <cellStyle xfId="0" name="Normal" builtinId="0"/>
  </cellStyles>
  <dxfs count="10">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color rgb="FFFF0000"/>
      </font>
      <fill>
        <patternFill patternType="solid">
          <fgColor rgb="FFD9D9D9"/>
          <bgColor rgb="FFD9D9D9"/>
        </patternFill>
      </fill>
      <border/>
    </dxf>
    <dxf>
      <font>
        <b/>
        <color rgb="FF6AA84F"/>
      </font>
      <fill>
        <patternFill patternType="none"/>
      </fill>
      <border/>
    </dxf>
    <dxf>
      <font>
        <b/>
      </font>
      <fill>
        <patternFill patternType="solid">
          <fgColor rgb="FFFF0000"/>
          <bgColor rgb="FFFF0000"/>
        </patternFill>
      </fill>
      <border/>
    </dxf>
    <dxf>
      <font>
        <color rgb="FF000000"/>
      </font>
      <fill>
        <patternFill patternType="solid">
          <fgColor rgb="FF6AA84F"/>
          <bgColor rgb="FF6AA84F"/>
        </patternFill>
      </fill>
      <border/>
    </dxf>
  </dxfs>
  <tableStyles count="1">
    <tableStyle count="4" pivot="0" name="Debt Owed Breakdown-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078b9278-b91c-4435-9603-46582d75bfec}">
    <Anchor>
      <Comment id="{a269d18e-0af5-4aaf-b646-c3eff1ec38f7}"/>
    </Anchor>
    <History>
      <Event time="2022-08-04T12:17:12.00" id="{ba305639-6864-401c-9433-b694e38fd663}">
        <Attribution userId="placeholder@email.com" userName="Jamie Denny" userProvider="google-sheets"/>
        <Anchor>
          <Comment id="{15be43f7-268b-429b-ab01-f0ebe9de2b36}"/>
        </Anchor>
        <Create/>
      </Event>
      <Event time="2022-08-04T12:17:12.00" id="{46818605-5015-41ab-a0d3-6a03dec8e9ed}">
        <Attribution userId="placeholder@email.com" userName="Jamie Denny" userProvider="google-sheets"/>
        <Anchor>
          <Comment id="{15be43f7-268b-429b-ab01-f0ebe9de2b36}"/>
        </Anchor>
        <Assign userId="kevin.denny.ii@gmail.com" userName="kevin.denny.ii@gmail.com" userProvider="google-sheets"/>
      </Event>
    </History>
  </Task>
  <Task id="{891f2049-b96a-4b67-8b79-9870bd6ea3c0}">
    <Anchor>
      <Comment id="{eb5b24d2-e3d4-4a56-8d39-2cf5243e9020}"/>
    </Anchor>
    <History>
      <Event time="2022-05-02T22:28:53.00" id="{0beca4c8-857b-4b04-b1ab-3214d0c77ad0}">
        <Attribution userId="placeholder@email.com" userName="Jamie Denny" userProvider="google-sheets"/>
        <Anchor>
          <Comment id="{eb5b24d2-e3d4-4a56-8d39-2cf5243e9020}"/>
        </Anchor>
        <Create/>
      </Event>
      <Event time="2022-05-02T22:28:53.00" id="{31419bdd-bff4-466f-9365-a26d7cc4c2b6}">
        <Attribution userId="placeholder@email.com" userName="Jamie Denny" userProvider="google-sheets"/>
        <Anchor>
          <Comment id="{eb5b24d2-e3d4-4a56-8d39-2cf5243e9020}"/>
        </Anchor>
        <Assign userId="kevin.denny.ii@gmail.com" userName="kevin.denny.ii@gmail.com" userProvider="google-sheets"/>
      </Event>
    </History>
  </Task>
  <Task id="{3b29a798-72ab-4f94-9bb7-fdd290945314}">
    <Anchor>
      <Comment id="{1d679a70-58b9-447c-b7dd-74b6e49bf093}"/>
    </Anchor>
    <History>
      <Event time="2019-10-15T04:09:39.00" id="{f6ebc02a-15c6-44c1-b919-cedb9be567ac}">
        <Attribution userId="placeholder@email.com" userName="Kevin D II" userProvider="google-sheets"/>
        <Anchor>
          <Comment id="{1d679a70-58b9-447c-b7dd-74b6e49bf093}"/>
        </Anchor>
        <Create/>
      </Event>
      <Event time="2019-10-15T04:09:39.00" id="{d5e9627d-278b-44d3-b0cd-06ba1e1c7af8}">
        <Attribution userId="placeholder@email.com" userName="Kevin D II" userProvider="google-sheets"/>
        <Anchor>
          <Comment id="{1d679a70-58b9-447c-b7dd-74b6e49bf093}"/>
        </Anchor>
        <Assign userId="jsross526@gmail.com" userName="jsross526@gmail.com" userProvider="google-sheets"/>
      </Event>
    </History>
  </Task>
  <Task id="{ec71fe3c-e8f5-49f5-85d6-58765b9f010e}">
    <Anchor>
      <Comment id="{a74dd6c3-9517-403c-9af2-e57c964f2c15}"/>
    </Anchor>
    <History>
      <Event time="2021-10-11T18:08:27.00" id="{d0ba7e04-dfd5-4ac9-90cf-1552af36f3d4}">
        <Attribution userId="placeholder@email.com" userName="Kevin D II" userProvider="google-sheets"/>
        <Anchor>
          <Comment id="{a74dd6c3-9517-403c-9af2-e57c964f2c15}"/>
        </Anchor>
        <Create/>
      </Event>
      <Event time="2021-10-11T18:08:27.00" id="{617006b9-67b8-4003-b98e-ba5d65a0245a}">
        <Attribution userId="placeholder@email.com" userName="Kevin D II" userProvider="google-sheets"/>
        <Anchor>
          <Comment id="{a74dd6c3-9517-403c-9af2-e57c964f2c15}"/>
        </Anchor>
        <Assign userId="jsross526@gmail.com" userName="jsross526@gmail.com" userProvider="google-sheets"/>
      </Event>
    </History>
  </Task>
  <Task id="{6549c9a1-135a-470a-83a2-93f4e6287ce5}">
    <Anchor>
      <Comment id="{728db531-7eff-47b9-af9e-d97777fb2834}"/>
    </Anchor>
    <History>
      <Event time="2022-05-18T19:46:03.00" id="{ada2a20d-12a9-46ca-bff7-27bae666949a}">
        <Attribution userId="placeholder@email.com" userName="Kevin D II" userProvider="google-sheets"/>
        <Anchor>
          <Comment id="{24708209-b29f-4d06-9594-68b57398e4ab}"/>
        </Anchor>
        <Create/>
      </Event>
      <Event time="2022-05-18T19:46:03.00" id="{4ef38e77-cb46-4a4b-a06c-dcffa7d152eb}">
        <Attribution userId="placeholder@email.com" userName="Kevin D II" userProvider="google-sheets"/>
        <Anchor>
          <Comment id="{24708209-b29f-4d06-9594-68b57398e4ab}"/>
        </Anchor>
        <Assign userId="jsross526@gmail.com" userName="jsross526@gmail.com" userProvider="google-sheets"/>
      </Event>
    </History>
  </Task>
  <Task id="{0c7dffd9-3983-4700-9637-8a9a721f899c}">
    <Anchor>
      <Comment id="{06f1b4d1-694e-47e7-9269-6fae9404af29}"/>
    </Anchor>
    <History>
      <Event time="2022-05-04T13:46:23.00" id="{57ce8746-fac3-4cb7-b8f5-ff387b597b9b}">
        <Attribution userId="placeholder@email.com" userName="Jamie Denny" userProvider="google-sheets"/>
        <Anchor>
          <Comment id="{06f1b4d1-694e-47e7-9269-6fae9404af29}"/>
        </Anchor>
        <Create/>
      </Event>
      <Event time="2022-05-04T13:46:23.00" id="{3fc61709-818f-4bd2-b294-06f79a36cbc1}">
        <Attribution userId="placeholder@email.com" userName="Jamie Denny" userProvider="google-sheets"/>
        <Anchor>
          <Comment id="{06f1b4d1-694e-47e7-9269-6fae9404af29}"/>
        </Anchor>
        <Assign userId="kevin.denny.ii@gmail.com" userName="kevin.denny.ii@gmail.com" userProvider="google-sheets"/>
      </Event>
    </History>
  </Task>
  <Task id="{da086186-7fee-41fc-bc3c-a6e46f20c784}">
    <Anchor>
      <Comment id="{711f8a8b-edb9-463b-855e-dfdce69aa9a8}"/>
    </Anchor>
    <History>
      <Event time="2023-06-02T13:59:56.00" id="{c004b537-0784-4efb-8eb3-e1b3657adfa6}">
        <Attribution userId="placeholder@email.com" userName="Kevin D II" userProvider="google-sheets"/>
        <Anchor>
          <Comment id="{711f8a8b-edb9-463b-855e-dfdce69aa9a8}"/>
        </Anchor>
        <Create/>
      </Event>
      <Event time="2023-06-02T13:59:56.00" id="{be9e8c96-594a-4223-a57f-63e4be430187}">
        <Attribution userId="placeholder@email.com" userName="Kevin D II" userProvider="google-sheets"/>
        <Anchor>
          <Comment id="{711f8a8b-edb9-463b-855e-dfdce69aa9a8}"/>
        </Anchor>
        <Assign userId="jsross526@gmail.com" userName="jsross526@gmail.com" userProvider="google-sheets"/>
      </Event>
    </History>
  </Task>
  <Task id="{24f4f548-6c3b-4c5f-801a-f5fc98c0e9e5}">
    <Anchor>
      <Comment id="{934ed959-8020-4b43-bc04-0dc9cfa91bd3}"/>
    </Anchor>
    <History>
      <Event time="2022-08-04T12:16:15.00" id="{7d0f7422-54e2-4519-9656-a01c594de148}">
        <Attribution userId="placeholder@email.com" userName="Jamie Denny" userProvider="google-sheets"/>
        <Anchor>
          <Comment id="{d2a6ae5b-49ca-40e8-9085-25a6ea6752bb}"/>
        </Anchor>
        <Create/>
      </Event>
      <Event time="2022-08-04T12:16:15.00" id="{b466c101-f486-4807-91a4-f33b17ddf22e}">
        <Attribution userId="placeholder@email.com" userName="Jamie Denny" userProvider="google-sheets"/>
        <Anchor>
          <Comment id="{d2a6ae5b-49ca-40e8-9085-25a6ea6752bb}"/>
        </Anchor>
        <Assign userId="kevin.denny.ii@gmail.com" userName="kevin.denny.ii@gmail.com" userProvider="google-sheets"/>
      </Event>
    </History>
  </Task>
  <Task id="{56b78ae3-5b6c-458a-bf3b-4c80f2564ac6}">
    <Anchor>
      <Comment id="{5e7d598b-7b98-46da-b0e8-f975c199fd12}"/>
    </Anchor>
    <History>
      <Event time="2022-08-31T20:08:49.00" id="{070ffe91-a0c1-4a0c-9b0e-ed6df1c42d83}">
        <Attribution userId="placeholder@email.com" userName="Jamie Denny" userProvider="google-sheets"/>
        <Anchor>
          <Comment id="{5e7d598b-7b98-46da-b0e8-f975c199fd12}"/>
        </Anchor>
        <Create/>
      </Event>
      <Event time="2022-08-31T20:08:49.00" id="{c4714321-b6a2-4e0b-b466-4ed7dd86f994}">
        <Attribution userId="placeholder@email.com" userName="Jamie Denny" userProvider="google-sheets"/>
        <Anchor>
          <Comment id="{5e7d598b-7b98-46da-b0e8-f975c199fd12}"/>
        </Anchor>
        <Assign userId="kevin.denny.ii@gmail.com" userName="kevin.denny.ii@gmail.com" userProvider="google-sheets"/>
      </Event>
    </History>
  </Task>
  <Task id="{c9a4fbb6-a38b-4a26-9898-70e203015eef}">
    <Anchor>
      <Comment id="{d27c5c53-e289-4ed5-b4ac-385a02b87ade}"/>
    </Anchor>
    <History>
      <Event time="2021-12-01T19:02:21.00" id="{e53bd966-9cd0-4c1e-a9ec-ae6affaded0d}">
        <Attribution userId="placeholder@email.com" userName="Kevin D II" userProvider="google-sheets"/>
        <Anchor>
          <Comment id="{d27c5c53-e289-4ed5-b4ac-385a02b87ade}"/>
        </Anchor>
        <Create/>
      </Event>
      <Event time="2021-12-01T19:02:21.00" id="{5175d5a6-26b8-4f07-883d-ca39de250a86}">
        <Attribution userId="placeholder@email.com" userName="Kevin D II" userProvider="google-sheets"/>
        <Anchor>
          <Comment id="{d27c5c53-e289-4ed5-b4ac-385a02b87ade}"/>
        </Anchor>
        <Assign userId="jsross526@gmail.com" userName="jsross526@gmail.com" userProvider="google-sheets"/>
      </Event>
    </History>
  </Task>
  <Task id="{4b1ecfe7-6db3-4297-af85-4546957fb2a6}">
    <Anchor>
      <Comment id="{7b7017e0-4ec5-4839-b733-eac15a286e98}"/>
    </Anchor>
    <History>
      <Event time="2022-05-13T04:39:14.00" id="{b7b9a4e2-ee53-46c2-94eb-3b0a79c9c93f}">
        <Attribution userId="placeholder@email.com" userName="Kevin D II" userProvider="google-sheets"/>
        <Anchor>
          <Comment id="{7b7017e0-4ec5-4839-b733-eac15a286e98}"/>
        </Anchor>
        <Create/>
      </Event>
      <Event time="2022-05-13T04:39:14.00" id="{08281016-8740-4f68-bcd7-1c5d6f4cefe7}">
        <Attribution userId="placeholder@email.com" userName="Kevin D II" userProvider="google-sheets"/>
        <Anchor>
          <Comment id="{7b7017e0-4ec5-4839-b733-eac15a286e98}"/>
        </Anchor>
        <Assign userId="jsross526@gmail.com" userName="jsross526@gmail.com" userProvider="google-sheets"/>
      </Event>
    </History>
  </Task>
  <Task id="{973c7811-f883-4f33-9b96-88c08ed749bc}">
    <Anchor>
      <Comment id="{9487a276-3095-4563-8980-930a5ebc465c}"/>
    </Anchor>
    <History>
      <Event time="2022-05-02T22:57:22.00" id="{47831b8a-5999-48e1-bb5b-b934e300b1aa}">
        <Attribution userId="placeholder@email.com" userName="Jamie Denny" userProvider="google-sheets"/>
        <Anchor>
          <Comment id="{9487a276-3095-4563-8980-930a5ebc465c}"/>
        </Anchor>
        <Create/>
      </Event>
      <Event time="2022-05-02T22:57:22.00" id="{95eb14e3-e64d-4281-8df0-b1c2c1ee871f}">
        <Attribution userId="placeholder@email.com" userName="Jamie Denny" userProvider="google-sheets"/>
        <Anchor>
          <Comment id="{9487a276-3095-4563-8980-930a5ebc465c}"/>
        </Anchor>
        <Assign userId="kevin.denny.ii@gmail.com" userName="kevin.denny.ii@gmail.com" userProvider="google-sheets"/>
      </Event>
    </History>
  </Task>
  <Task id="{9b53b774-c55c-4dfb-a711-b8af620521e5}">
    <Anchor>
      <Comment id="{eea8be56-d768-49ea-b90d-6a08e266864e}"/>
    </Anchor>
    <History>
      <Event time="2022-07-11T17:28:34.00" id="{77dd5059-0fd4-4988-886a-36d6770464e2}">
        <Attribution userId="placeholder@email.com" userName="Kevin D II" userProvider="google-sheets"/>
        <Anchor>
          <Comment id="{58dfee7a-bbe1-483f-babe-7d4b6a0475a7}"/>
        </Anchor>
        <Create/>
      </Event>
      <Event time="2022-07-11T17:28:34.00" id="{3cb8e2f3-6810-4d6e-bca4-3802a0cfcaf0}">
        <Attribution userId="placeholder@email.com" userName="Kevin D II" userProvider="google-sheets"/>
        <Anchor>
          <Comment id="{58dfee7a-bbe1-483f-babe-7d4b6a0475a7}"/>
        </Anchor>
        <Assign userId="jsross526@gmail.com" userName="jsross526@gmail.com" userProvider="google-sheets"/>
      </Event>
    </History>
  </Task>
  <Task id="{f87a31db-d2f0-40a9-82fa-d5dc30a7ff1a}">
    <Anchor>
      <Comment id="{eec86c50-6427-452b-b3e4-946292d79bc9}"/>
    </Anchor>
    <History>
      <Event time="2022-05-13T04:38:19.00" id="{2de7e854-b94e-471d-a39b-8e3340193bb2}">
        <Attribution userId="placeholder@email.com" userName="Kevin D II" userProvider="google-sheets"/>
        <Anchor>
          <Comment id="{eec86c50-6427-452b-b3e4-946292d79bc9}"/>
        </Anchor>
        <Create/>
      </Event>
      <Event time="2022-05-13T04:38:19.00" id="{1fda2e6b-9452-4794-87a6-307011937577}">
        <Attribution userId="placeholder@email.com" userName="Kevin D II" userProvider="google-sheets"/>
        <Anchor>
          <Comment id="{eec86c50-6427-452b-b3e4-946292d79bc9}"/>
        </Anchor>
        <Assign userId="jsross526@gmail.com" userName="jsross526@gmail.com" userProvider="google-sheets"/>
      </Event>
    </History>
  </Task>
  <Task id="{3e4f6f5b-616b-4384-b863-ec2e12a34422}">
    <Anchor>
      <Comment id="{292067a9-67aa-464c-996e-1e0540bc10d0}"/>
    </Anchor>
    <History>
      <Event time="2023-06-05T11:57:35.00" id="{23ab739a-2e43-4720-ba3a-190d9df35126}">
        <Attribution userId="placeholder@email.com" userName="Kevin D II" userProvider="google-sheets"/>
        <Anchor>
          <Comment id="{cafebec1-4446-4417-9fdd-9c8a3a56165f}"/>
        </Anchor>
        <Create/>
      </Event>
      <Event time="2023-06-05T11:57:35.00" id="{2b2047fa-faa3-4c47-8f70-2d56e5cb7c82}">
        <Attribution userId="placeholder@email.com" userName="Kevin D II" userProvider="google-sheets"/>
        <Anchor>
          <Comment id="{cafebec1-4446-4417-9fdd-9c8a3a56165f}"/>
        </Anchor>
        <Assign userId="jsross526@gmail.com" userName="jsross526@gmail.com" userProvider="google-sheets"/>
      </Event>
    </History>
  </Task>
  <Task id="{e2afd937-3f16-48d4-9151-1e7096638449}">
    <Anchor>
      <Comment id="{f59bb009-770a-4cda-abc0-641cc682e2e7}"/>
    </Anchor>
    <History>
      <Event time="2019-09-13T15:00:57.00" id="{9e3287d9-38b6-412f-83f1-2403d8355187}">
        <Attribution userId="placeholder@email.com" userName="Kevin D II" userProvider="google-sheets"/>
        <Anchor>
          <Comment id="{f59bb009-770a-4cda-abc0-641cc682e2e7}"/>
        </Anchor>
        <Create/>
      </Event>
      <Event time="2019-09-13T15:00:57.00" id="{0b6c470b-9371-4fcd-8574-492c98a3064c}">
        <Attribution userId="placeholder@email.com" userName="Kevin D II" userProvider="google-sheets"/>
        <Anchor>
          <Comment id="{f59bb009-770a-4cda-abc0-641cc682e2e7}"/>
        </Anchor>
        <Assign userId="jsross526@gmail.com" userName="jsross526@gmail.com" userProvider="google-sheets"/>
      </Event>
    </History>
  </Task>
  <Task id="{4690325d-d7e0-449c-864e-d721a1255c08}">
    <Anchor>
      <Comment id="{386fa631-7011-4bed-bcf4-e045f7ac3a74}"/>
    </Anchor>
    <History>
      <Event time="2022-05-02T22:29:28.00" id="{3ecc79d8-7e8c-40db-a424-3679aecee60b}">
        <Attribution userId="placeholder@email.com" userName="Jamie Denny" userProvider="google-sheets"/>
        <Anchor>
          <Comment id="{386fa631-7011-4bed-bcf4-e045f7ac3a74}"/>
        </Anchor>
        <Create/>
      </Event>
      <Event time="2022-05-02T22:29:28.00" id="{0006cb0b-7fc4-4449-a665-8bf2c18b8779}">
        <Attribution userId="placeholder@email.com" userName="Jamie Denny" userProvider="google-sheets"/>
        <Anchor>
          <Comment id="{386fa631-7011-4bed-bcf4-e045f7ac3a74}"/>
        </Anchor>
        <Assign userId="kevin.denny.ii@gmail.com" userName="kevin.denny.ii@gmail.com" userProvider="google-sheets"/>
      </Event>
    </History>
  </Task>
  <Task id="{3994fb5d-f6ff-45d9-91df-ba3dd4bbe27d}">
    <Anchor>
      <Comment id="{7f0a9854-5086-4db2-8b52-79ababffd0d9}"/>
    </Anchor>
    <History>
      <Event time="2022-05-03T05:20:50.00" id="{9ebb2384-066d-4115-8a15-7e5bb3e05e02}">
        <Attribution userId="placeholder@email.com" userName="Kevin D II" userProvider="google-sheets"/>
        <Anchor>
          <Comment id="{7f0a9854-5086-4db2-8b52-79ababffd0d9}"/>
        </Anchor>
        <Create/>
      </Event>
      <Event time="2022-05-03T05:20:50.00" id="{c0d0131f-35ff-4b99-91a3-6415106fd951}">
        <Attribution userId="placeholder@email.com" userName="Kevin D II" userProvider="google-sheets"/>
        <Anchor>
          <Comment id="{7f0a9854-5086-4db2-8b52-79ababffd0d9}"/>
        </Anchor>
        <Assign userId="jsross526@gmail.com" userName="jsross526@gmail.com" userProvider="google-sheets"/>
      </Event>
    </History>
  </Task>
  <Task id="{bf350d8e-fc4d-4a6b-a667-005557e1cea8}">
    <Anchor>
      <Comment id="{3a548569-36f7-416b-813d-992d7f698c1c}"/>
    </Anchor>
    <History>
      <Event time="2017-12-11T06:00:31.00" id="{7fab78e3-4db4-45ce-a449-e720cc5bbb4f}">
        <Attribution userId="placeholder@email.com" userName="Kevin D II" userProvider="google-sheets"/>
        <Anchor>
          <Comment id="{3a548569-36f7-416b-813d-992d7f698c1c}"/>
        </Anchor>
        <Create/>
      </Event>
      <Event time="2017-12-11T06:00:31.00" id="{2c3f3186-3791-414e-8eaa-d3b2d22de332}">
        <Attribution userId="placeholder@email.com" userName="Kevin D II" userProvider="google-sheets"/>
        <Anchor>
          <Comment id="{3a548569-36f7-416b-813d-992d7f698c1c}"/>
        </Anchor>
        <Assign userId="jsross526@gmail.com" userName="jsross526@gmail.com" userProvider="google-sheets"/>
      </Event>
    </History>
  </Task>
  <Task id="{c61eab68-8264-49f6-8643-d4f233985d22}">
    <Anchor>
      <Comment id="{61d44bb2-4907-4bb3-a03b-0861be98e184}"/>
    </Anchor>
    <History>
      <Event time="2019-05-30T15:21:09.00" id="{fc35e85f-22ac-44fa-99d2-756ac117b415}">
        <Attribution userId="placeholder@email.com" userName="Kevin D II" userProvider="google-sheets"/>
        <Anchor>
          <Comment id="{61d44bb2-4907-4bb3-a03b-0861be98e184}"/>
        </Anchor>
        <Create/>
      </Event>
      <Event time="2019-05-30T15:21:09.00" id="{7f92a01e-293e-4c01-b871-66c2b85e03c3}">
        <Attribution userId="placeholder@email.com" userName="Kevin D II" userProvider="google-sheets"/>
        <Anchor>
          <Comment id="{61d44bb2-4907-4bb3-a03b-0861be98e184}"/>
        </Anchor>
        <Assign userId="jsross526@gmail.com" userName="jsross526@gmail.com" userProvider="google-sheets"/>
      </Event>
    </History>
  </Task>
  <Task id="{1a93bc4e-3d1e-4cb7-90fe-320e89dbb4e5}">
    <Anchor>
      <Comment id="{795460f9-3bfa-4a28-9710-93748f764b3a}"/>
    </Anchor>
    <History>
      <Event time="2022-11-15T17:10:17.00" id="{8db2a219-52e3-46e6-af5f-532cd33d8a42}">
        <Attribution userId="placeholder@email.com" userName="Kevin D II" userProvider="google-sheets"/>
        <Anchor>
          <Comment id="{795460f9-3bfa-4a28-9710-93748f764b3a}"/>
        </Anchor>
        <Create/>
      </Event>
      <Event time="2022-11-15T17:10:17.00" id="{e5334c22-9db8-4757-a517-2448c7ecc728}">
        <Attribution userId="placeholder@email.com" userName="Kevin D II" userProvider="google-sheets"/>
        <Anchor>
          <Comment id="{795460f9-3bfa-4a28-9710-93748f764b3a}"/>
        </Anchor>
        <Assign userId="jsross526@gmail.com" userName="jsross526@gmail.com" userProvider="google-sheets"/>
      </Event>
    </History>
  </Task>
  <Task id="{eb3cac35-db8f-47c0-a9d9-82dc195fa387}">
    <Anchor>
      <Comment id="{8b7ec014-89b4-43ee-9224-49ed2ed8f0de}"/>
    </Anchor>
    <History>
      <Event time="2022-11-15T17:09:51.00" id="{6e46d58d-9702-4968-a7c8-2ffd6996fc43}">
        <Attribution userId="placeholder@email.com" userName="Kevin D II" userProvider="google-sheets"/>
        <Anchor>
          <Comment id="{8b7ec014-89b4-43ee-9224-49ed2ed8f0de}"/>
        </Anchor>
        <Create/>
      </Event>
      <Event time="2022-11-15T17:09:51.00" id="{42c85eff-dc53-4276-aee2-e4e5d978a977}">
        <Attribution userId="placeholder@email.com" userName="Kevin D II" userProvider="google-sheets"/>
        <Anchor>
          <Comment id="{8b7ec014-89b4-43ee-9224-49ed2ed8f0de}"/>
        </Anchor>
        <Assign userId="jsross526@gmail.com" userName="jsross526@gmail.com" userProvider="google-sheets"/>
      </Event>
    </History>
  </Task>
  <Task id="{f737c22f-6e96-40ab-abd3-6b06e35fbc9b}">
    <Anchor>
      <Comment id="{0476fa17-d03f-476d-85ee-8e98669cb59e}"/>
    </Anchor>
    <History>
      <Event time="2022-08-08T22:11:51.00" id="{a80d65cd-0c5b-4bc1-a0d6-9d403d278ec6}">
        <Attribution userId="placeholder@email.com" userName="Kevin D II" userProvider="google-sheets"/>
        <Anchor>
          <Comment id="{b416b8de-4f34-4a96-99a4-db10868dcdf9}"/>
        </Anchor>
        <Create/>
      </Event>
      <Event time="2022-08-08T22:11:51.00" id="{480241c0-196d-4167-b21c-517bd2d01bd4}">
        <Attribution userId="placeholder@email.com" userName="Kevin D II" userProvider="google-sheets"/>
        <Anchor>
          <Comment id="{b416b8de-4f34-4a96-99a4-db10868dcdf9}"/>
        </Anchor>
        <Assign userId="jsross526@gmail.com" userName="jsross526@gmail.com" userProvider="google-sheets"/>
      </Event>
    </History>
  </Task>
  <Task id="{286795a9-d912-43d7-8bcb-df5cbfdd8751}">
    <Anchor>
      <Comment id="{39fd7bee-976b-4a0c-bf9f-3bb1f06f95a2}"/>
    </Anchor>
    <History>
      <Event time="2022-08-21T21:02:51.00" id="{ec1b42f0-8c47-4117-af0d-52f165981678}">
        <Attribution userId="placeholder@email.com" userName="Kevin D II" userProvider="google-sheets"/>
        <Anchor>
          <Comment id="{39fd7bee-976b-4a0c-bf9f-3bb1f06f95a2}"/>
        </Anchor>
        <Create/>
      </Event>
      <Event time="2022-08-21T21:02:51.00" id="{495a7a7e-21a1-4433-b3f0-31be41a79637}">
        <Attribution userId="placeholder@email.com" userName="Kevin D II" userProvider="google-sheets"/>
        <Anchor>
          <Comment id="{39fd7bee-976b-4a0c-bf9f-3bb1f06f95a2}"/>
        </Anchor>
        <Assign userId="jsross526@gmail.com" userName="jsross526@gmail.com" userProvider="google-sheets"/>
      </Event>
    </History>
  </Task>
  <Task id="{8d59759c-7c63-4e5e-b7e2-1847a832a5f1}">
    <Anchor>
      <Comment id="{daff6c3b-ea2a-4b0c-9d9e-4bde40050c9e}"/>
    </Anchor>
    <History>
      <Event time="2022-08-21T21:02:40.00" id="{74b34e65-7427-45b0-a621-ef8792cf375c}">
        <Attribution userId="placeholder@email.com" userName="Kevin D II" userProvider="google-sheets"/>
        <Anchor>
          <Comment id="{daff6c3b-ea2a-4b0c-9d9e-4bde40050c9e}"/>
        </Anchor>
        <Create/>
      </Event>
      <Event time="2022-08-21T21:02:40.00" id="{25740a1d-e3d0-4c02-8f5f-7203c1862381}">
        <Attribution userId="placeholder@email.com" userName="Kevin D II" userProvider="google-sheets"/>
        <Anchor>
          <Comment id="{daff6c3b-ea2a-4b0c-9d9e-4bde40050c9e}"/>
        </Anchor>
        <Assign userId="jsross526@gmail.com" userName="jsross526@gmail.com" userProvider="google-sheets"/>
      </Event>
    </History>
  </Task>
  <Task id="{09b52d03-b927-402d-80bd-fb0245833e7b}">
    <Anchor>
      <Comment id="{12452944-4ac6-4e2a-b9c7-c6ccefc21174}"/>
    </Anchor>
    <History>
      <Event time="2019-01-16T03:50:05.00" id="{f3a9f037-d7a8-4a3a-8e0b-c09b1e9b7905}">
        <Attribution userId="placeholder@email.com" userName="Kevin D II" userProvider="google-sheets"/>
        <Anchor>
          <Comment id="{12452944-4ac6-4e2a-b9c7-c6ccefc21174}"/>
        </Anchor>
        <Create/>
      </Event>
      <Event time="2019-01-16T03:50:05.00" id="{dae200dc-56eb-4fd3-94ce-116700912fb8}">
        <Attribution userId="placeholder@email.com" userName="Kevin D II" userProvider="google-sheets"/>
        <Anchor>
          <Comment id="{12452944-4ac6-4e2a-b9c7-c6ccefc21174}"/>
        </Anchor>
        <Assign userId="jsross526@gmail.com" userName="jsross526@gmail.com" userProvider="google-sheets"/>
      </Event>
    </History>
  </Task>
  <Task id="{c635a70e-f1a9-4f65-957e-e6bb8aa9e220}">
    <Anchor>
      <Comment id="{4e8ceff9-ed27-4d87-bd43-707c80a62373}"/>
    </Anchor>
    <History>
      <Event time="2023-06-05T11:59:18.00" id="{22a9987c-dbfe-4942-8639-16cb13be3360}">
        <Attribution userId="placeholder@email.com" userName="Kevin D II" userProvider="google-sheets"/>
        <Anchor>
          <Comment id="{4e8ceff9-ed27-4d87-bd43-707c80a62373}"/>
        </Anchor>
        <Create/>
      </Event>
      <Event time="2023-06-05T11:59:18.00" id="{0696cc62-5dbb-4ad5-aef2-ab58a0b3804c}">
        <Attribution userId="placeholder@email.com" userName="Kevin D II" userProvider="google-sheets"/>
        <Anchor>
          <Comment id="{4e8ceff9-ed27-4d87-bd43-707c80a62373}"/>
        </Anchor>
        <Assign userId="jsross526@gmail.com" userName="jsross526@gmail.com" userProvider="google-sheets"/>
      </Event>
    </History>
  </Task>
</Tasks>
</file>

<file path=xl/documenttasks/documenttask2.xml><?xml version="1.0" encoding="utf-8"?>
<Tasks xmlns="http://schemas.microsoft.com/office/tasks/2019/documenttasks">
  <Task id="{acb1f1e2-bd45-44d1-888c-5a6b4ef95ebc}">
    <Anchor>
      <Comment id="{2b79787b-d15a-404f-a55e-a2b15317052e}"/>
    </Anchor>
    <History>
      <Event time="2022-05-13T04:40:29.00" id="{96338d41-2999-4983-998e-9226b9273d3f}">
        <Attribution userId="placeholder@email.com" userName="Kevin D II" userProvider="google-sheets"/>
        <Anchor>
          <Comment id="{503c7fbf-2f85-4530-9a0b-42a6f661305e}"/>
        </Anchor>
        <Create/>
      </Event>
      <Event time="2022-05-13T04:40:29.00" id="{02ad7373-375c-449b-897c-2bd570192150}">
        <Attribution userId="placeholder@email.com" userName="Kevin D II" userProvider="google-sheets"/>
        <Anchor>
          <Comment id="{503c7fbf-2f85-4530-9a0b-42a6f661305e}"/>
        </Anchor>
        <Assign userId="jsross526@gmail.com" userName="jsross526@gmail.com" userProvider="google-sheets"/>
      </Event>
    </History>
  </Task>
  <Task id="{5f6abe78-ffff-4890-8d71-46eac471b76e}">
    <Anchor>
      <Comment id="{297f231f-3c77-44e3-b25e-3cb8627c87eb}"/>
    </Anchor>
    <History>
      <Event time="2018-12-02T03:41:55.00" id="{856608aa-cd61-4fcc-aba6-c883427ebfaa}">
        <Attribution userId="placeholder@email.com" userName="Kevin D II" userProvider="google-sheets"/>
        <Anchor>
          <Comment id="{297f231f-3c77-44e3-b25e-3cb8627c87eb}"/>
        </Anchor>
        <Create/>
      </Event>
      <Event time="2018-12-02T03:41:55.00" id="{cf34bb70-c90c-45b1-be56-829eb248cf2d}">
        <Attribution userId="placeholder@email.com" userName="Kevin D II" userProvider="google-sheets"/>
        <Anchor>
          <Comment id="{297f231f-3c77-44e3-b25e-3cb8627c87eb}"/>
        </Anchor>
        <Assign userId="jsross526@gmail.com" userName="jsross526@gmail.com" userProvider="google-sheets"/>
      </Event>
    </History>
  </Task>
  <Task id="{c5aceacf-beb6-4ba5-baf1-c767c66f3dcd}">
    <Anchor>
      <Comment id="{c931964e-589d-4dca-9770-8321e72ebcdf}"/>
    </Anchor>
    <History>
      <Event time="2022-08-09T04:46:07.00" id="{a78be476-87dd-40fd-ba1a-157f5a0dbc58}">
        <Attribution userId="placeholder@email.com" userName="Kevin D II" userProvider="google-sheets"/>
        <Anchor>
          <Comment id="{e8317a1c-1698-4a35-b252-c6a6a04fdff8}"/>
        </Anchor>
        <Create/>
      </Event>
      <Event time="2022-08-09T04:46:07.00" id="{dc02a636-fe75-4b6f-92f8-d752a1761a83}">
        <Attribution userId="placeholder@email.com" userName="Kevin D II" userProvider="google-sheets"/>
        <Anchor>
          <Comment id="{e8317a1c-1698-4a35-b252-c6a6a04fdff8}"/>
        </Anchor>
        <Assign userId="jsross526@gmail.com" userName="jsross526@gmail.com" userProvider="google-sheets"/>
      </Event>
    </History>
  </Task>
  <Task id="{6a3a4361-c045-4c2a-b54e-e84fc9a2b28b}">
    <Anchor>
      <Comment id="{1f003cff-531e-42ae-a2f6-e30a8538d6a8}"/>
    </Anchor>
    <History>
      <Event time="2022-07-04T14:35:56.00" id="{1e402c23-daf5-47c1-a915-183b6f9e7d08}">
        <Attribution userId="placeholder@email.com" userName="Jamie Denny" userProvider="google-sheets"/>
        <Anchor>
          <Comment id="{1f003cff-531e-42ae-a2f6-e30a8538d6a8}"/>
        </Anchor>
        <Create/>
      </Event>
      <Event time="2022-07-04T14:35:56.00" id="{53c16b34-52b5-4435-b312-e4a0f6c7d272}">
        <Attribution userId="placeholder@email.com" userName="Jamie Denny" userProvider="google-sheets"/>
        <Anchor>
          <Comment id="{1f003cff-531e-42ae-a2f6-e30a8538d6a8}"/>
        </Anchor>
        <Assign userId="kevin.denny.ii@gmail.com" userName="kevin.denny.ii@gmail.com" userProvider="google-sheets"/>
      </Event>
    </History>
  </Task>
  <Task id="{6619a986-0fb8-4359-a4ec-a811c9b2b41e}">
    <Anchor>
      <Comment id="{33e7a2ee-407e-4827-9dfa-2b2c66732237}"/>
    </Anchor>
    <History>
      <Event time="2022-08-31T19:08:29.00" id="{8fc89126-cf4c-4feb-b055-6e0218e6231d}">
        <Attribution userId="placeholder@email.com" userName="Jamie Denny" userProvider="google-sheets"/>
        <Anchor>
          <Comment id="{33e7a2ee-407e-4827-9dfa-2b2c66732237}"/>
        </Anchor>
        <Create/>
      </Event>
      <Event time="2022-08-31T19:08:29.00" id="{81f320d5-212f-4f72-a7c6-cd242a808150}">
        <Attribution userId="placeholder@email.com" userName="Jamie Denny" userProvider="google-sheets"/>
        <Anchor>
          <Comment id="{33e7a2ee-407e-4827-9dfa-2b2c66732237}"/>
        </Anchor>
        <Assign userId="kevin.denny.ii@gmail.com" userName="kevin.denny.ii@gmail.com" userProvider="google-sheets"/>
      </Event>
    </History>
  </Task>
  <Task id="{3ff1f864-1dea-4240-90b7-b7627ce2a46a}">
    <Anchor>
      <Comment id="{94da9af2-58c3-437d-bf44-fc941e17f6fb}"/>
    </Anchor>
    <History>
      <Event time="2021-10-10T21:19:59.00" id="{b350f91c-ad3b-49ed-b2f1-0e865b0f5400}">
        <Attribution userId="placeholder@email.com" userName="Jamie Denny" userProvider="google-sheets"/>
        <Anchor>
          <Comment id="{94da9af2-58c3-437d-bf44-fc941e17f6fb}"/>
        </Anchor>
        <Create/>
      </Event>
      <Event time="2021-10-10T21:19:59.00" id="{8ee08772-2605-40ef-a283-33fac3578119}">
        <Attribution userId="placeholder@email.com" userName="Jamie Denny" userProvider="google-sheets"/>
        <Anchor>
          <Comment id="{94da9af2-58c3-437d-bf44-fc941e17f6fb}"/>
        </Anchor>
        <Assign userId="kodennyii@hotmail.com" userName="kodennyii@hotmail.com" userProvider="google-sheets"/>
      </Event>
    </History>
  </Task>
  <Task id="{118b1925-6fd6-44c1-969f-c5a46a0d2170}">
    <Anchor>
      <Comment id="{713afbc3-0f24-4d70-98f7-dfe10cbf90ff}"/>
    </Anchor>
    <History>
      <Event time="2022-10-10T16:28:04.00" id="{b413e286-1312-460e-91ed-1c93af2ad026}">
        <Attribution userId="placeholder@email.com" userName="Kevin D II" userProvider="google-sheets"/>
        <Anchor>
          <Comment id="{713afbc3-0f24-4d70-98f7-dfe10cbf90ff}"/>
        </Anchor>
        <Create/>
      </Event>
      <Event time="2022-10-10T16:28:04.00" id="{13584290-f7c8-4a68-8f74-5e50a13fd691}">
        <Attribution userId="placeholder@email.com" userName="Kevin D II" userProvider="google-sheets"/>
        <Anchor>
          <Comment id="{713afbc3-0f24-4d70-98f7-dfe10cbf90ff}"/>
        </Anchor>
        <Assign userId="jsross526@gmail.com" userName="jsross526@gmail.com" userProvider="google-sheets"/>
      </Event>
    </History>
  </Task>
  <Task id="{6c62f90a-be34-4cd9-b839-69e5b2fea396}">
    <Anchor>
      <Comment id="{b6f3fc85-56bb-46aa-b158-3cb0497c7305}"/>
    </Anchor>
    <History>
      <Event time="2017-11-05T06:29:10.00" id="{72168d16-995e-4a23-b0e6-399754a42d40}">
        <Attribution userId="placeholder@email.com" userName="Kevin D II" userProvider="google-sheets"/>
        <Anchor>
          <Comment id="{b6f3fc85-56bb-46aa-b158-3cb0497c7305}"/>
        </Anchor>
        <Create/>
      </Event>
      <Event time="2017-11-05T06:29:10.00" id="{269c0e7b-b130-485e-913d-16c589de1573}">
        <Attribution userId="placeholder@email.com" userName="Kevin D II" userProvider="google-sheets"/>
        <Anchor>
          <Comment id="{b6f3fc85-56bb-46aa-b158-3cb0497c7305}"/>
        </Anchor>
        <Assign userId="jsross526@gmail.com" userName="jsross526@gmail.com" userProvider="google-sheets"/>
      </Event>
    </History>
  </Task>
  <Task id="{18158858-196a-4ab8-9ed9-03a216d033bb}">
    <Anchor>
      <Comment id="{bd450cff-e289-4678-8cf0-f9bb9208304c}"/>
    </Anchor>
    <History>
      <Event time="2019-12-30T22:05:26.00" id="{cd0de359-c905-4b6c-9b8c-883ba6c74189}">
        <Attribution userId="placeholder@email.com" userName="Kevin D II" userProvider="google-sheets"/>
        <Anchor>
          <Comment id="{bd450cff-e289-4678-8cf0-f9bb9208304c}"/>
        </Anchor>
        <Create/>
      </Event>
      <Event time="2019-12-30T22:05:26.00" id="{2a3a56a6-c0eb-4740-8412-64f0ecd354e1}">
        <Attribution userId="placeholder@email.com" userName="Kevin D II" userProvider="google-sheets"/>
        <Anchor>
          <Comment id="{bd450cff-e289-4678-8cf0-f9bb9208304c}"/>
        </Anchor>
        <Assign userId="jsross526@gmail.com" userName="jsross526@gmail.com" userProvider="google-sheets"/>
      </Event>
    </History>
  </Task>
  <Task id="{f16d5774-cb60-4ebd-8c56-c658d336cfde}">
    <Anchor>
      <Comment id="{d886e614-1d2d-4da2-a33c-1934d89cfdf7}"/>
    </Anchor>
    <History>
      <Event time="2019-03-30T04:17:25.00" id="{e821a392-2d36-48e0-9416-6d973305f0cd}">
        <Attribution userId="placeholder@email.com" userName="Kevin D II" userProvider="google-sheets"/>
        <Anchor>
          <Comment id="{d886e614-1d2d-4da2-a33c-1934d89cfdf7}"/>
        </Anchor>
        <Create/>
      </Event>
      <Event time="2019-03-30T04:17:25.00" id="{4915a09a-c6fd-4191-8cb5-1f4db4c1e069}">
        <Attribution userId="placeholder@email.com" userName="Kevin D II" userProvider="google-sheets"/>
        <Anchor>
          <Comment id="{d886e614-1d2d-4da2-a33c-1934d89cfdf7}"/>
        </Anchor>
        <Assign userId="jsross526@gmail.com" userName="jsross526@gmail.com" userProvider="google-sheets"/>
      </Event>
    </History>
  </Task>
</Tasks>
</file>

<file path=xl/documenttasks/documenttask3.xml><?xml version="1.0" encoding="utf-8"?>
<Tasks xmlns="http://schemas.microsoft.com/office/tasks/2019/documenttasks">
  <Task id="{c16ce9eb-439a-48a4-80f7-3b04dade4796}">
    <Anchor>
      <Comment id="{b348858b-fc72-4d68-b29c-8aef0e8f3060}"/>
    </Anchor>
    <History>
      <Event time="2022-06-22T16:59:32.00" id="{a498c9a2-94c9-427f-9869-b999dea7b68c}">
        <Attribution userId="placeholder@email.com" userName="Kevin D II" userProvider="google-sheets"/>
        <Anchor>
          <Comment id="{b348858b-fc72-4d68-b29c-8aef0e8f3060}"/>
        </Anchor>
        <Create/>
      </Event>
      <Event time="2022-06-22T16:59:32.00" id="{b94e26f2-a299-4df4-b66a-9532734cc39d}">
        <Attribution userId="placeholder@email.com" userName="Kevin D II" userProvider="google-sheets"/>
        <Anchor>
          <Comment id="{b348858b-fc72-4d68-b29c-8aef0e8f3060}"/>
        </Anchor>
        <Assign userId="jsross526@gmail.com" userName="jsross526@gmail.com" userProvider="google-sheets"/>
      </Event>
    </History>
  </Task>
  <Task id="{9497de19-5c74-49d8-9850-525361a481df}">
    <Anchor>
      <Comment id="{7c1098c7-75ca-463d-8205-652497d7f772}"/>
    </Anchor>
    <History>
      <Event time="2022-05-17T19:08:04.00" id="{992d3e07-cd36-4c60-a60f-f0f736158243}">
        <Attribution userId="placeholder@email.com" userName="Kevin D II" userProvider="google-sheets"/>
        <Anchor>
          <Comment id="{7c1098c7-75ca-463d-8205-652497d7f772}"/>
        </Anchor>
        <Create/>
      </Event>
      <Event time="2022-05-17T19:08:04.00" id="{96f482d4-d1df-48d9-a069-ead885caa5d4}">
        <Attribution userId="placeholder@email.com" userName="Kevin D II" userProvider="google-sheets"/>
        <Anchor>
          <Comment id="{7c1098c7-75ca-463d-8205-652497d7f772}"/>
        </Anchor>
        <Assign userId="jsross526@gmail.com" userName="jsross526@gmail.com" userProvider="google-sheets"/>
      </Event>
    </History>
  </Task>
  <Task id="{d1e0985d-ea2a-472c-a89b-6d04819246c4}">
    <Anchor>
      <Comment id="{f033bc4c-f4f5-4195-9ed2-943fbf80f730}"/>
    </Anchor>
    <History>
      <Event time="2022-06-22T16:56:46.00" id="{7b672268-c9ea-4c8a-8c4d-32c5f3156d46}">
        <Attribution userId="placeholder@email.com" userName="Kevin D II" userProvider="google-sheets"/>
        <Anchor>
          <Comment id="{cbf347fb-3f04-43ce-a9e4-6f4b63185cbf}"/>
        </Anchor>
        <Create/>
      </Event>
      <Event time="2022-06-22T16:56:46.00" id="{5dc5754c-1ca0-40c4-9c42-1e135e464628}">
        <Attribution userId="placeholder@email.com" userName="Kevin D II" userProvider="google-sheets"/>
        <Anchor>
          <Comment id="{cbf347fb-3f04-43ce-a9e4-6f4b63185cbf}"/>
        </Anchor>
        <Assign userId="jsross526@gmail.com" userName="jsross526@gmail.com" userProvider="google-sheets"/>
      </Event>
    </History>
  </Task>
</Tasks>
</file>

<file path=xl/documenttasks/documenttask4.xml><?xml version="1.0" encoding="utf-8"?>
<Tasks xmlns="http://schemas.microsoft.com/office/tasks/2019/documenttasks">
  <Task id="{5142f289-b400-452c-81dc-1b891c2997e7}">
    <Anchor>
      <Comment id="{f21b2a4b-fa64-4fa0-aca3-05f8023dc7a0}"/>
    </Anchor>
    <History>
      <Event time="2022-06-26T03:56:22.00" id="{14638b0b-ae38-45f5-a2bc-71a3cc2f7d55}">
        <Attribution userId="placeholder@email.com" userName="Kevin D II" userProvider="google-sheets"/>
        <Anchor>
          <Comment id="{f21b2a4b-fa64-4fa0-aca3-05f8023dc7a0}"/>
        </Anchor>
        <Create/>
      </Event>
      <Event time="2022-06-26T03:56:22.00" id="{21e9020e-6aa5-44f2-af35-c1c98ddb2a91}">
        <Attribution userId="placeholder@email.com" userName="Kevin D II" userProvider="google-sheets"/>
        <Anchor>
          <Comment id="{f21b2a4b-fa64-4fa0-aca3-05f8023dc7a0}"/>
        </Anchor>
        <Assign userId="jsross526@gmail.com" userName="jsross526@gmail.com" userProvider="google-sheets"/>
      </Event>
    </History>
  </Task>
</Tasks>
</file>

<file path=xl/documenttasks/documenttask5.xml><?xml version="1.0" encoding="utf-8"?>
<Tasks xmlns="http://schemas.microsoft.com/office/tasks/2019/documenttasks">
  <Task id="{69b16e17-f978-4d23-9d8a-b6a74b6c6252}">
    <Anchor>
      <Comment id="{1b3db4cd-d27e-4a67-a15c-3e91822d0649}"/>
    </Anchor>
    <History>
      <Event time="2022-05-13T04:45:39.00" id="{57181cc4-8abf-40ce-a125-c8c18ade326c}">
        <Attribution userId="placeholder@email.com" userName="Kevin D II" userProvider="google-sheets"/>
        <Anchor>
          <Comment id="{1b3db4cd-d27e-4a67-a15c-3e91822d0649}"/>
        </Anchor>
        <Create/>
      </Event>
      <Event time="2022-05-13T04:45:39.00" id="{9b121e4d-ed50-45d1-ae3f-6b48fc886cae}">
        <Attribution userId="placeholder@email.com" userName="Kevin D II" userProvider="google-sheets"/>
        <Anchor>
          <Comment id="{1b3db4cd-d27e-4a67-a15c-3e91822d0649}"/>
        </Anchor>
        <Assign userId="jsross526@gmail.com" userName="jsross526@gmail.com" userProvider="google-sheets"/>
      </Event>
    </History>
  </Task>
  <Task id="{d8059980-e7aa-4fae-b606-3acd74b9b433}">
    <Anchor>
      <Comment id="{24f9a5c5-a978-4ed4-b200-ae5634c06b7a}"/>
    </Anchor>
    <History>
      <Event time="2022-05-02T22:32:07.00" id="{90eadb6d-a7cc-498a-8f09-ef1a500ed47d}">
        <Attribution userId="placeholder@email.com" userName="Jamie Denny" userProvider="google-sheets"/>
        <Anchor>
          <Comment id="{24f9a5c5-a978-4ed4-b200-ae5634c06b7a}"/>
        </Anchor>
        <Create/>
      </Event>
      <Event time="2022-05-02T22:32:07.00" id="{db65ee01-d825-4c40-a4d2-f893f5ef47c7}">
        <Attribution userId="placeholder@email.com" userName="Jamie Denny" userProvider="google-sheets"/>
        <Anchor>
          <Comment id="{24f9a5c5-a978-4ed4-b200-ae5634c06b7a}"/>
        </Anchor>
        <Assign userId="kevin.denny.ii@gmail.com" userName="kevin.denny.ii@gmail.com" userProvider="google-sheets"/>
      </Event>
    </History>
  </Task>
  <Task id="{1cf646d9-c2ea-49f1-8a72-623777cda84b}">
    <Anchor>
      <Comment id="{83b985ea-5149-4b67-8189-334d206590b7}"/>
    </Anchor>
    <History>
      <Event time="2022-04-21T18:57:28.00" id="{686560ce-c5b9-481f-8cbb-b3af1a0a65d1}">
        <Attribution userId="placeholder@email.com" userName="Kevin D II" userProvider="google-sheets"/>
        <Anchor>
          <Comment id="{b038d1de-0712-449d-85c4-63ef775d9005}"/>
        </Anchor>
        <Create/>
      </Event>
      <Event time="2022-04-21T18:57:28.00" id="{ba5ecaae-857c-480f-a829-6d84a1537080}">
        <Attribution userId="placeholder@email.com" userName="Kevin D II" userProvider="google-sheets"/>
        <Anchor>
          <Comment id="{b038d1de-0712-449d-85c4-63ef775d9005}"/>
        </Anchor>
        <Assign userId="jsross526@gmail.com" userName="jsross526@gmail.com" userProvider="google-sheets"/>
      </Event>
    </History>
  </Task>
  <Task id="{1c1565e1-5925-46d0-aab8-469abbf4af00}">
    <Anchor>
      <Comment id="{a9048e7e-a424-40ab-96f9-77ba42e9cefd}"/>
    </Anchor>
    <History>
      <Event time="2022-05-18T19:44:56.00" id="{69fbde97-b3cd-45ea-a312-7ecbfd9f9ea8}">
        <Attribution userId="placeholder@email.com" userName="Kevin D II" userProvider="google-sheets"/>
        <Anchor>
          <Comment id="{f9434e88-26a9-4e88-beda-9648056fda45}"/>
        </Anchor>
        <Create/>
      </Event>
      <Event time="2022-05-18T19:44:56.00" id="{d019b280-e201-4ed0-a388-ca00d21f3067}">
        <Attribution userId="placeholder@email.com" userName="Kevin D II" userProvider="google-sheets"/>
        <Anchor>
          <Comment id="{f9434e88-26a9-4e88-beda-9648056fda45}"/>
        </Anchor>
        <Assign userId="jsross526@gmail.com" userName="jsross526@gmail.com" userProvider="google-sheets"/>
      </Event>
    </History>
  </Task>
  <Task id="{be813fdf-f5e4-430b-9d95-422d20f4ab95}">
    <Anchor>
      <Comment id="{78d63056-6810-4fd4-8455-e9e2129ff14a}"/>
    </Anchor>
    <History>
      <Event time="2022-04-21T14:55:44.00" id="{f2d6187f-e1ab-43e4-ae66-7267e07c3420}">
        <Attribution userId="placeholder@email.com" userName="Kevin D II" userProvider="google-sheets"/>
        <Anchor>
          <Comment id="{78d63056-6810-4fd4-8455-e9e2129ff14a}"/>
        </Anchor>
        <Create/>
      </Event>
      <Event time="2022-04-21T14:55:44.00" id="{df2a6a08-2169-40d3-a0f5-bab6923c8286}">
        <Attribution userId="placeholder@email.com" userName="Kevin D II" userProvider="google-sheets"/>
        <Anchor>
          <Comment id="{78d63056-6810-4fd4-8455-e9e2129ff14a}"/>
        </Anchor>
        <Assign userId="jsross526@gmail.com" userName="jsross526@gmail.com" userProvider="google-sheets"/>
      </Event>
    </History>
  </Task>
</Tasks>
</file>

<file path=xl/documenttasks/documenttask6.xml><?xml version="1.0" encoding="utf-8"?>
<Tasks xmlns="http://schemas.microsoft.com/office/tasks/2019/documenttasks">
  <Task id="{55ac28bf-a863-484e-be3a-3a3432bfe466}">
    <Anchor>
      <Comment id="{5a4bc49a-9b10-478e-919b-4c9c26515251}"/>
    </Anchor>
    <History>
      <Event time="2022-05-19T03:45:29.00" id="{aed08a78-23d5-4ace-b23f-feba1de0488a}">
        <Attribution userId="placeholder@email.com" userName="Kevin D II" userProvider="google-sheets"/>
        <Anchor>
          <Comment id="{5a4bc49a-9b10-478e-919b-4c9c26515251}"/>
        </Anchor>
        <Create/>
      </Event>
      <Event time="2022-05-19T03:45:29.00" id="{441cb1e6-8ebd-4212-b89b-6062c937b91e}">
        <Attribution userId="placeholder@email.com" userName="Kevin D II" userProvider="google-sheets"/>
        <Anchor>
          <Comment id="{5a4bc49a-9b10-478e-919b-4c9c26515251}"/>
        </Anchor>
        <Assign userId="jsross526@gmail.com" userName="jsross526@gmail.com" userProvider="google-sheets"/>
      </Event>
    </History>
  </Task>
</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evin D II" id="{58ef522c-646a-441f-ad38-882c44ad7937}" providerId="google-sheets"/>
  <x18tc:person displayName="kodennyii@hotmail.com" id="{4179a251-e23f-4d68-9d4f-f607b619cc5a}" userId="kodennyii@hotmail.com" providerId="google-sheets"/>
  <x18tc:person displayName="Jamie Denny" id="{4b7736df-c089-4399-8ba5-de0e68c6f896}" providerId="google-sheets"/>
  <x18tc:person displayName="kevin.denny.ii@gmail.com" id="{a2a0244d-acc1-4835-a298-707089522525}" userId="kevin.denny.ii@gmail.com" providerId="google-sheets"/>
  <x18tc:person displayName="lmolina@freshstartcpa.com" id="{230a6aab-6988-4d30-9ace-a5dbbd058fa5}" userId="lmolina@freshstartcpa.com" providerId="google-sheets"/>
  <x18tc:person displayName="jsross526@gmail.com" id="{33d74fd4-b490-414b-b3ab-0e991e675204}" userId="jsross526@gmail.com" providerId="google-sheets"/>
</x18tc:personList>
</file>

<file path=xl/tables/table1.xml><?xml version="1.0" encoding="utf-8"?>
<table xmlns="http://schemas.openxmlformats.org/spreadsheetml/2006/main" ref="A1:D20" displayName="Table1" name="Table1" id="1">
  <tableColumns count="4">
    <tableColumn name="Debt Owed" id="1"/>
    <tableColumn name="Current Balance" id="2"/>
    <tableColumn name="Date Recorded" id="3"/>
    <tableColumn name="Notes" id="4"/>
  </tableColumns>
  <tableStyleInfo name="Debt Owed Breakdow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2-08-04T04:27:21.00" personId="{58ef522c-646a-441f-ad38-882c44ad7937}" id="{a269d18e-0af5-4aaf-b646-c3eff1ec38f7}" done="1">
    <x18tc:text xml:space="preserve">@jsross526@gmail.com whatever you did here removed the calculation of the total amount so I had to add it back.  
What did the color red indicate here?  Is this paid off? 
or is this something we still dont know?
I see the amount remaining has not changed.
Assigned to jsross526@gmail.com</x18tc:text>
    <x18tc:mentions>
      <x18tc:mention mentionpersonId="{33d74fd4-b490-414b-b3ab-0e991e675204}" mentionId="{9b51aa09-d7c7-429e-bc21-5e9a479efed1}" startIndex="0" length="20"/>
    </x18tc:mentions>
  </x18tc:threadedComment>
  <x18tc:threadedComment ref="A1" dT="2022-08-04T12:17:12.00" personId="{4b7736df-c089-4399-8ba5-de0e68c6f896}" id="{15be43f7-268b-429b-ab01-f0ebe9de2b36}" parentId="{a269d18e-0af5-4aaf-b646-c3eff1ec38f7}">
    <x18tc:text xml:space="preserve">@kevin.denny.ii@gmail.com can please stop undoing what I did; that read box was for me to know I need to call this provider to set up the payment plan. If have question ask; don't just undo stuff.
Reassigned to kevin.denny.ii@gmail.com</x18tc:text>
    <x18tc:mentions>
      <x18tc:mention mentionpersonId="{a2a0244d-acc1-4835-a298-707089522525}" mentionId="{bd89ae7f-a49e-4689-b720-298d47df2a4c}" startIndex="0" length="25"/>
    </x18tc:mentions>
  </x18tc:threadedComment>
  <x18tc:threadedComment ref="A1" dT="2022-08-04T19:03:46.00" personId="{58ef522c-646a-441f-ad38-882c44ad7937}" id="{596b4440-d5fc-43fd-bc67-2f5737af4f37}" parentId="{a269d18e-0af5-4aaf-b646-c3eff1ec38f7}">
    <x18tc:text xml:space="preserve">@jsross526@gmail.com Yes but then please fix the undoing of what i did as well which is what I was pointing out.  You made a lot of changes and didn't even notice we no longer calculating the monthly amount</x18tc:text>
    <x18tc:mentions>
      <x18tc:mention mentionpersonId="{33d74fd4-b490-414b-b3ab-0e991e675204}" mentionId="{a69ee3a2-bf2a-4880-841b-2950118616aa}" startIndex="0" length="20"/>
    </x18tc:mentions>
  </x18tc:threadedComment>
  <x18tc:threadedComment ref="A1" dT="2022-08-04T19:07:03.00" personId="{58ef522c-646a-441f-ad38-882c44ad7937}" id="{37a6aab2-9d54-4fc5-863b-cd638b07e5e5}" parentId="{a269d18e-0af5-4aaf-b646-c3eff1ec38f7}">
    <x18tc:text xml:space="preserve">And if you are adding color please put notes as to why so i understand what is happening.  In having a document we share, either a comments or notes are helpful</x18tc:text>
  </x18tc:threadedComment>
  <x18tc:threadedComment ref="A1" dT="2019-09-01T03:47:30.00" personId="{58ef522c-646a-441f-ad38-882c44ad7937}" id="{8ce5dd8f-12e2-430f-9050-238f53ffdf98}" done="1">
    <x18tc:text xml:space="preserve">Updated @jsross526@gmail.com</x18tc:text>
    <x18tc:mentions>
      <x18tc:mention mentionpersonId="{33d74fd4-b490-414b-b3ab-0e991e675204}" mentionId="{7055c25d-06d4-437a-843c-09ffed1b4d8d}" startIndex="8" length="20"/>
    </x18tc:mentions>
  </x18tc:threadedComment>
  <x18tc:threadedComment ref="A1" dT="2022-05-02T22:28:53.00" personId="{4b7736df-c089-4399-8ba5-de0e68c6f896}" id="{eb5b24d2-e3d4-4a56-8d39-2cf5243e9020}" done="1">
    <x18tc:text xml:space="preserve">@kevin.denny.ii@gmail.com this will need to be paid outside of HSA for month of May
Assigned to kevin.denny.ii@gmail.com</x18tc:text>
    <x18tc:mentions>
      <x18tc:mention mentionpersonId="{a2a0244d-acc1-4835-a298-707089522525}" mentionId="{20cc28b4-fac9-49dc-9fd9-82addef64b82}" startIndex="0" length="25"/>
    </x18tc:mentions>
  </x18tc:threadedComment>
  <x18tc:threadedComment ref="A1" dT="2019-10-15T04:09:39.00" personId="{58ef522c-646a-441f-ad38-882c44ad7937}" id="{1d679a70-58b9-447c-b7dd-74b6e49bf093}" done="0">
    <x18tc:text xml:space="preserve">What is an "ongoing" balance?  I see a total amount  for this expense so "ongoing" is very confusing unless we don't know or don't have access to our remaining balance based on the monthly payment @jsross526@gmail.com
Assigned to jsross526@gmail.com</x18tc:text>
    <x18tc:mentions>
      <x18tc:mention mentionpersonId="{33d74fd4-b490-414b-b3ab-0e991e675204}" mentionId="{e0abc363-b703-4d8c-bdbe-f3e778d14eef}" startIndex="197" length="20"/>
    </x18tc:mentions>
  </x18tc:threadedComment>
  <x18tc:threadedComment ref="A1" dT="2019-10-15T04:44:48.00" personId="{4b7736df-c089-4399-8ba5-de0e68c6f896}" id="{5c96b50f-d1d9-48d0-965c-81ce2ee58517}" parentId="{1d679a70-58b9-447c-b7dd-74b6e49bf093}">
    <x18tc:text xml:space="preserve">I put ongoing because this bill will not be paid for 2 years based on $116 monthly payment instead of keep updating it</x18tc:text>
  </x18tc:threadedComment>
  <x18tc:threadedComment ref="A1" dT="2019-09-01T03:47:53.00" personId="{58ef522c-646a-441f-ad38-882c44ad7937}" id="{67079bc4-01b3-4018-b56e-36ee8f64c84e}" done="1">
    <x18tc:text xml:space="preserve">Updated @jsross526@gmail.com</x18tc:text>
    <x18tc:mentions>
      <x18tc:mention mentionpersonId="{33d74fd4-b490-414b-b3ab-0e991e675204}" mentionId="{9fd0f258-5211-46b2-a405-aa51cca22bbd}" startIndex="8" length="20"/>
    </x18tc:mentions>
  </x18tc:threadedComment>
  <x18tc:threadedComment ref="A1" dT="2021-03-18T15:21:08.00" personId="{58ef522c-646a-441f-ad38-882c44ad7937}" id="{ea0c09c1-1382-44f7-af10-2c455ba14730}" parentId="{67079bc4-01b3-4018-b56e-36ee8f64c84e}">
    <x18tc:text xml:space="preserve">@jsross526@gmail.com I am recommending we remove the saving of $100 to our 3-6 months savings and make it towards payments on the Amex. Since we are saving that with irs refunds and covid-19 stimulus we could potentially really start making a slow rolling snowball in attacking debt
What are your thoughts?</x18tc:text>
    <x18tc:mentions>
      <x18tc:mention mentionpersonId="{33d74fd4-b490-414b-b3ab-0e991e675204}" mentionId="{8a8d3194-9074-4070-91d7-8da9ab862e60}" startIndex="0" length="20"/>
    </x18tc:mentions>
  </x18tc:threadedComment>
  <x18tc:threadedComment ref="A1" dT="2021-03-18T15:37:44.00" personId="{4b7736df-c089-4399-8ba5-de0e68c6f896}" id="{967bd96c-92ef-41dd-a050-acb9dfe213ec}" parentId="{67079bc4-01b3-4018-b56e-36ee8f64c84e}">
    <x18tc:text xml:space="preserve">Not understanding what you are asking?</x18tc:text>
  </x18tc:threadedComment>
  <x18tc:threadedComment ref="A1" dT="2021-03-18T15:53:42.00" personId="{58ef522c-646a-441f-ad38-882c44ad7937}" id="{cd8e59a2-544a-4427-a958-bfbaec5dfb74}" parentId="{67079bc4-01b3-4018-b56e-36ee8f64c84e}">
    <x18tc:text xml:space="preserve">I'm asking for your thoughts...</x18tc:text>
  </x18tc:threadedComment>
  <x18tc:threadedComment ref="A1" dT="2021-03-18T16:20:29.00" personId="{4b7736df-c089-4399-8ba5-de0e68c6f896}" id="{ce873a9e-7e74-4d38-9469-b9378cd5a741}" parentId="{67079bc4-01b3-4018-b56e-36ee8f64c84e}">
    <x18tc:text xml:space="preserve">No mean not understanding what you are proposing</x18tc:text>
  </x18tc:threadedComment>
  <x18tc:threadedComment ref="A1" dT="2021-03-18T16:53:22.00" personId="{58ef522c-646a-441f-ad38-882c44ad7937}" id="{d9d0743a-bdfa-4f0a-ba64-c5306b31a2a5}" parentId="{67079bc4-01b3-4018-b56e-36ee8f64c84e}">
    <x18tc:text xml:space="preserve">Using the $100/monthly dollars to put towards the Amex instead of savings since we are gonna have a built up 3-6 month funds from the IRS refund and COVID-19 stimulus</x18tc:text>
  </x18tc:threadedComment>
  <x18tc:threadedComment ref="A1" dT="2020-02-01T03:43:22.00" personId="{58ef522c-646a-441f-ad38-882c44ad7937}" id="{cba16017-5cce-4762-bc69-4b0cf45b9dac}" done="0">
    <x18tc:text xml:space="preserve">Needs access to what? @jsross526@gmail.com</x18tc:text>
    <x18tc:mentions>
      <x18tc:mention mentionpersonId="{33d74fd4-b490-414b-b3ab-0e991e675204}" mentionId="{049efa28-f17f-4df0-8c19-9f946bae06bd}" startIndex="22" length="20"/>
    </x18tc:mentions>
  </x18tc:threadedComment>
  <x18tc:threadedComment ref="A1" dT="2021-10-11T18:08:27.00" personId="{58ef522c-646a-441f-ad38-882c44ad7937}" id="{a74dd6c3-9517-403c-9af2-e57c964f2c15}" done="1">
    <x18tc:text xml:space="preserve">@jsross526@gmail.com this is just something we will have to manually update (i.e. no excel formulas), very similar to how we capture our credit card debt and manually updated it
Assigned to jsross526@gmail.com</x18tc:text>
    <x18tc:mentions>
      <x18tc:mention mentionpersonId="{33d74fd4-b490-414b-b3ab-0e991e675204}" mentionId="{fd0eb475-0cdb-494a-8564-432bdde1aa9b}" startIndex="0" length="20"/>
    </x18tc:mentions>
  </x18tc:threadedComment>
  <x18tc:threadedComment ref="A1" dT="2022-05-18T17:50:25.00" personId="{4b7736df-c089-4399-8ba5-de0e68c6f896}" id="{728db531-7eff-47b9-af9e-d97777fb2834}" done="0">
    <x18tc:text xml:space="preserve">@kevin.denny.ii@gmail.com , I'm putting this here for my record. It is easier for me to remember to note on this page than to go to Keep. Of bills/prescriptions/co-pays I've paid outside of the HSA
Assigned to kevin.denny.ii@gmail.com</x18tc:text>
    <x18tc:mentions>
      <x18tc:mention mentionpersonId="{a2a0244d-acc1-4835-a298-707089522525}" mentionId="{daba1e51-4710-4adc-b5f2-e7329cf9622f}" startIndex="0" length="25"/>
    </x18tc:mentions>
  </x18tc:threadedComment>
  <x18tc:threadedComment ref="A1" dT="2022-05-18T19:46:03.00" personId="{58ef522c-646a-441f-ad38-882c44ad7937}" id="{24708209-b29f-4d06-9594-68b57398e4ab}" parentId="{728db531-7eff-47b9-af9e-d97777fb2834}">
    <x18tc:text xml:space="preserve">@jsross526@gmail.com Ok I can move all of our records for "HSA Payback" Google Sheet off Keep and create on this Google Sheet
Reassigned to jsross526@gmail.com</x18tc:text>
    <x18tc:mentions>
      <x18tc:mention mentionpersonId="{33d74fd4-b490-414b-b3ab-0e991e675204}" mentionId="{366406d2-fec0-4f16-a1b1-fe89f8e2a71f}" startIndex="0" length="20"/>
    </x18tc:mentions>
  </x18tc:threadedComment>
  <x18tc:threadedComment ref="A1" dT="2022-05-19T03:36:01.00" personId="{58ef522c-646a-441f-ad38-882c44ad7937}" id="{7089a3df-b4a3-4bb8-b448-c9b322e11e08}" parentId="{728db531-7eff-47b9-af9e-d97777fb2834}">
    <x18tc:text xml:space="preserve">@jsross526@gmail.com https://docs.google.com/spreadsheets/d/1Ck1L5l2cIhkhWrxnvq0OqDI4QIDDkgAh20yMzQKwPms/edit#gid=77657340</x18tc:text>
    <x18tc:mentions>
      <x18tc:mention mentionpersonId="{33d74fd4-b490-414b-b3ab-0e991e675204}" mentionId="{8588c432-6eb6-490e-a668-4e437d678ad4}" startIndex="0" length="20"/>
    </x18tc:mentions>
    <x18tc:extLst>
      <ext uri="{F7C98A9C-CBB3-438F-8F68-D28B6AF4A901}">
        <xltc2:checksum/>
        <xltc2:hyperlink startIndex="21" length="101" url="https://docs.google.com/spreadsheets/d/1Ck1L5l2cIhkhWrxnvq0OqDI4QIDDkgAh20yMzQKwPms/edit#gid=77657340"/>
      </ext>
    </x18tc:extLst>
  </x18tc:threadedComment>
  <x18tc:threadedComment ref="A1" dT="2022-05-04T13:46:23.00" personId="{4b7736df-c089-4399-8ba5-de0e68c6f896}" id="{06f1b4d1-694e-47e7-9269-6fae9404af29}" done="1">
    <x18tc:text xml:space="preserve">@kevin.denny.ii@gmail.com I"m assuming this is after taxes and what is exactly placed into my account correct?
Assigned to kevin.denny.ii@gmail.com</x18tc:text>
    <x18tc:mentions>
      <x18tc:mention mentionpersonId="{a2a0244d-acc1-4835-a298-707089522525}" mentionId="{f18bf5f3-fa33-4feb-b52f-bd182d393201}" startIndex="0" length="25"/>
    </x18tc:mentions>
  </x18tc:threadedComment>
  <x18tc:threadedComment ref="A1" dT="2022-05-04T13:47:44.00" personId="{4b7736df-c089-4399-8ba5-de0e68c6f896}" id="{b3594b5d-5095-4330-96c9-c5c040d5e8d5}" parentId="{06f1b4d1-694e-47e7-9269-6fae9404af29}">
    <x18tc:text xml:space="preserve">I get paid the 15th &amp; last business day of the month</x18tc:text>
  </x18tc:threadedComment>
  <x18tc:threadedComment ref="A1" dT="2022-05-04T13:55:57.00" personId="{4b7736df-c089-4399-8ba5-de0e68c6f896}" id="{6c20d11a-b941-42a5-bccb-4bfd7137c3f4}" parentId="{06f1b4d1-694e-47e7-9269-6fae9404af29}">
    <x18tc:text xml:space="preserve">I estimate monthly income for me $4,800 (of course this will change once I start contributing to retirement and if we take any insurance)</x18tc:text>
  </x18tc:threadedComment>
  <x18tc:threadedComment ref="A1" dT="2023-06-02T13:59:56.00" personId="{58ef522c-646a-441f-ad38-882c44ad7937}" id="{711f8a8b-edb9-463b-855e-dfdce69aa9a8}" done="1">
    <x18tc:text xml:space="preserve">@jsross526@gmail.com I am assuming this something you really just don't want to do and use because it hasn't been followed and I have no idea how to keep account of how you are using your checking and wanting to use the shared family account.    My $200/month remains the same until I share otherwise.
Assigned to jsross526@gmail.com</x18tc:text>
    <x18tc:mentions>
      <x18tc:mention mentionpersonId="{33d74fd4-b490-414b-b3ab-0e991e675204}" mentionId="{5d8aa800-e3ee-4e00-8b85-3ed8e4d48f5a}" startIndex="0" length="20"/>
    </x18tc:mentions>
  </x18tc:threadedComment>
  <x18tc:threadedComment ref="A1" dT="2023-06-02T14:30:03.00" personId="{4b7736df-c089-4399-8ba5-de0e68c6f896}" id="{54e32d2e-5ccd-4cae-8e33-ac242873ae07}" parentId="{711f8a8b-edb9-463b-855e-dfdce69aa9a8}">
    <x18tc:text xml:space="preserve">You stated to do $100 so that was what I was doing. I just left $500 this pay as to what I will use when I go to Vegas next week</x18tc:text>
  </x18tc:threadedComment>
  <x18tc:threadedComment ref="A1" dT="2023-06-02T15:48:01.00" personId="{58ef522c-646a-441f-ad38-882c44ad7937}" id="{f1dc6aca-cfb6-418a-b674-557a6f8a5ad6}" parentId="{711f8a8b-edb9-463b-855e-dfdce69aa9a8}">
    <x18tc:text xml:space="preserve">$100 per paycheck yes, but I had not seen that happening really but if this something you re cool with then I'll keep track. And put the $200/month back</x18tc:text>
  </x18tc:threadedComment>
  <x18tc:threadedComment ref="A1" dT="2020-02-01T03:41:46.00" personId="{58ef522c-646a-441f-ad38-882c44ad7937}" id="{ae4640c8-9765-4c1a-a986-914b94136e55}" done="0">
    <x18tc:text xml:space="preserve">What is are these savings for and which savings accounts? @jsross526@gmail.com</x18tc:text>
    <x18tc:mentions>
      <x18tc:mention mentionpersonId="{33d74fd4-b490-414b-b3ab-0e991e675204}" mentionId="{e5951a45-3a6b-4bd7-b325-e70d589052f0}" startIndex="58" length="20"/>
    </x18tc:mentions>
  </x18tc:threadedComment>
  <x18tc:threadedComment ref="A1" dT="2022-08-04T04:29:15.00" personId="{58ef522c-646a-441f-ad38-882c44ad7937}" id="{934ed959-8020-4b43-bc04-0dc9cfa91bd3}" done="1">
    <x18tc:text xml:space="preserve">@jsross526@gmail.com I saw that you updated this amount to $25.  That is not what we are paying nor do you see that when logging in.  
https://www.personapay.com/CTH01/account-summary
Is there something I am missing here?
Assigned to jsross526@gmail.com</x18tc:text>
    <x18tc:mentions>
      <x18tc:mention mentionpersonId="{33d74fd4-b490-414b-b3ab-0e991e675204}" mentionId="{5cd88286-6afe-4ef1-b83d-8c63dea61b68}" startIndex="0" length="20"/>
    </x18tc:mentions>
    <x18tc:extLst>
      <ext uri="{F7C98A9C-CBB3-438F-8F68-D28B6AF4A901}">
        <xltc2:checksum/>
        <xltc2:hyperlink startIndex="135" length="48" url="https://www.personapay.com/CTH01/account-summary"/>
      </ext>
    </x18tc:extLst>
  </x18tc:threadedComment>
  <x18tc:threadedComment ref="A1" dT="2022-08-04T05:21:34.00" personId="{4b7736df-c089-4399-8ba5-de0e68c6f896}" id="{a933d3dd-9624-4973-aad0-0962266da102}" parentId="{934ed959-8020-4b43-bc04-0dc9cfa91bd3}">
    <x18tc:text xml:space="preserve">I changed it to 25 because that was the amount that was taken based on transaction from HSA CARD</x18tc:text>
  </x18tc:threadedComment>
  <x18tc:threadedComment ref="A1" dT="2022-08-04T12:16:15.00" personId="{4b7736df-c089-4399-8ba5-de0e68c6f896}" id="{d2a6ae5b-49ca-40e8-9085-25a6ea6752bb}" parentId="{934ed959-8020-4b43-bc04-0dc9cfa91bd3}">
    <x18tc:text xml:space="preserve">@kevin.denny.ii@gmail.com that is the amount was charged on the card was $25 in July
Reassigned to kevin.denny.ii@gmail.com</x18tc:text>
    <x18tc:mentions>
      <x18tc:mention mentionpersonId="{a2a0244d-acc1-4835-a298-707089522525}" mentionId="{814807f0-5603-477c-9e26-5f15ff0e7e55}" startIndex="0" length="25"/>
    </x18tc:mentions>
  </x18tc:threadedComment>
  <x18tc:threadedComment ref="A1" dT="2022-08-04T19:09:00.00" personId="{58ef522c-646a-441f-ad38-882c44ad7937}" id="{101ac6c5-3f99-49f1-945c-dbb81ce38342}" parentId="{934ed959-8020-4b43-bc04-0dc9cfa91bd3}">
    <x18tc:text xml:space="preserve">@jsross526@gmail.com For this online payment, anytime you initiate a payment plan you must make an initial payment of $25 towards the bill</x18tc:text>
    <x18tc:mentions>
      <x18tc:mention mentionpersonId="{33d74fd4-b490-414b-b3ab-0e991e675204}" mentionId="{c6396d6f-5bd7-4c03-bade-10c32b54ab95}" startIndex="0" length="20"/>
    </x18tc:mentions>
  </x18tc:threadedComment>
  <x18tc:threadedComment ref="A1" dT="2022-08-04T19:09:53.00" personId="{58ef522c-646a-441f-ad38-882c44ad7937}" id="{ac579080-617f-440e-8054-64df8b3af948}" parentId="{934ed959-8020-4b43-bc04-0dc9cfa91bd3}">
    <x18tc:text xml:space="preserve">Access to payment info is noted there, also.</x18tc:text>
  </x18tc:threadedComment>
  <x18tc:threadedComment ref="A1" dT="2022-11-10T20:20:20.00" personId="{4b7736df-c089-4399-8ba5-de0e68c6f896}" id="{ad6876ec-7dd5-4060-89eb-914993b86925}" done="1">
    <x18tc:text xml:space="preserve">11/10: Spoke with Raven waiting for bill to be finalized. No payment due at this time. Account is on hold</x18tc:text>
  </x18tc:threadedComment>
  <x18tc:threadedComment ref="A1" dT="2022-11-15T17:10:57.00" personId="{58ef522c-646a-441f-ad38-882c44ad7937}" id="{fbad93d8-ec14-45f2-a3b0-2d8c2b76e629}" parentId="{ad6876ec-7dd5-4060-89eb-914993b86925}">
    <x18tc:text xml:space="preserve">ok</x18tc:text>
  </x18tc:threadedComment>
  <x18tc:threadedComment ref="A1" dT="2019-10-15T01:19:27.00" personId="{4b7736df-c089-4399-8ba5-de0e68c6f896}" id="{6494cf98-d596-4754-8e97-63d0200b59c2}" done="0">
    <x18tc:text xml:space="preserve">Also we need to pay Nikki her remaining balance of $600 and $250 for placenta encapsulation by end of October.</x18tc:text>
  </x18tc:threadedComment>
  <x18tc:threadedComment ref="A1" dT="2019-10-15T04:09:33.00" personId="{58ef522c-646a-441f-ad38-882c44ad7937}" id="{df469893-fceb-4bdc-ae09-c7a8b8970903}" parentId="{6494cf98-d596-4754-8e97-63d0200b59c2}">
    <x18tc:text xml:space="preserve">Thanks for making sure Nikki gets paid.  She deserves EVERY pretty penny.  As stated before, $800 goes into our account on15th (or second pay period) and if it is believed this was not stated, the $800 can be seen on the transactions activity happening on that account.</x18tc:text>
  </x18tc:threadedComment>
  <x18tc:threadedComment ref="A1" dT="2022-06-22T18:35:35.00" personId="{4b7736df-c089-4399-8ba5-de0e68c6f896}" id="{8106be84-03cf-4a12-a682-aef171255460}" done="1">
    <x18tc:text xml:space="preserve">waiting for insurance to update claim</x18tc:text>
  </x18tc:threadedComment>
  <x18tc:threadedComment ref="A1" dT="2020-02-01T03:40:30.00" personId="{58ef522c-646a-441f-ad38-882c44ad7937}" id="{3ea6622e-5e42-4270-a422-1e3f6b068f13}" done="0">
    <x18tc:text xml:space="preserve">This is from the recommendations of Dave Ramsey to remove all of your debt.  Removing debt would be wise to make our first and top priority @jsross526@gmail.com</x18tc:text>
    <x18tc:mentions>
      <x18tc:mention mentionpersonId="{33d74fd4-b490-414b-b3ab-0e991e675204}" mentionId="{74e1179a-72ca-4585-9d4b-c42c72427c07}" startIndex="140" length="20"/>
    </x18tc:mentions>
  </x18tc:threadedComment>
  <x18tc:threadedComment ref="A1" dT="2022-08-31T20:08:49.00" personId="{4b7736df-c089-4399-8ba5-de0e68c6f896}" id="{5e7d598b-7b98-46da-b0e8-f975c199fd12}" done="1">
    <x18tc:text xml:space="preserve">@kevin.denny.ii@gmail.com all medical bills have been updated. Will you cancel this auto pay.
Assigned to kevin.denny.ii@gmail.com</x18tc:text>
    <x18tc:mentions>
      <x18tc:mention mentionpersonId="{a2a0244d-acc1-4835-a298-707089522525}" mentionId="{71ef8b49-8271-41db-ba40-d8f28077c180}" startIndex="0" length="25"/>
    </x18tc:mentions>
  </x18tc:threadedComment>
  <x18tc:threadedComment ref="A1" dT="2022-08-31T20:10:26.00" personId="{58ef522c-646a-441f-ad38-882c44ad7937}" id="{50f073fc-6581-4ed8-9063-9f30698b8013}" parentId="{5e7d598b-7b98-46da-b0e8-f975c199fd12}">
    <x18tc:text xml:space="preserve">This unfortunately cannot be cancelled a payment has to be made for it to not be reported and go into deeper collections and be delequent so I opted for the lowest monthly payment which is $15/month</x18tc:text>
  </x18tc:threadedComment>
  <x18tc:threadedComment ref="A1" dT="2022-08-31T20:51:34.00" personId="{4b7736df-c089-4399-8ba5-de0e68c6f896}" id="{818e2522-c08d-4ab9-a995-8fb294f844bb}" parentId="{5e7d598b-7b98-46da-b0e8-f975c199fd12}">
    <x18tc:text xml:space="preserve">@kevin.denny.ii@gmail.com well the HSA card is cancelled so need to put a new form of payment</x18tc:text>
    <x18tc:mentions>
      <x18tc:mention mentionpersonId="{a2a0244d-acc1-4835-a298-707089522525}" mentionId="{41721246-3d47-4e3d-b264-5b810ba30297}" startIndex="0" length="25"/>
    </x18tc:mentions>
  </x18tc:threadedComment>
  <x18tc:threadedComment ref="A1" dT="2022-08-31T22:19:07.00" personId="{58ef522c-646a-441f-ad38-882c44ad7937}" id="{4dbd2446-862f-49f4-b100-3a099c2e0363}" parentId="{5e7d598b-7b98-46da-b0e8-f975c199fd12}">
    <x18tc:text xml:space="preserve">There is a back but I did not realize the HSA card was cancelled.</x18tc:text>
  </x18tc:threadedComment>
  <x18tc:threadedComment ref="A1" dT="2022-08-31T22:45:33.00" personId="{4b7736df-c089-4399-8ba5-de0e68c6f896}" id="{476538bb-b3dc-4673-9fff-a9bd20ce09a4}" parentId="{5e7d598b-7b98-46da-b0e8-f975c199fd12}">
    <x18tc:text xml:space="preserve">Yes that card we can no longer use</x18tc:text>
  </x18tc:threadedComment>
  <x18tc:threadedComment ref="A1" dT="2019-10-15T01:12:55.00" personId="{4b7736df-c089-4399-8ba5-de0e68c6f896}" id="{dc363243-3866-40ed-a303-a5c2753eea95}" done="0">
    <x18tc:text xml:space="preserve">All medical bills are up to date with monthly payments. Two new Bill's was added this month. I added them. I had to put $469 on my Credit card to cover all expenses. If there money from other means a besides the HSA you can make a payment directly to my credit card please. As of today it was on $125 available and I used $116 of that to pay for North Central Baptist amount and used credit card to pay rest of the bills</x18tc:text>
  </x18tc:threadedComment>
  <x18tc:threadedComment ref="A1" dT="2019-10-15T04:05:37.00" personId="{58ef522c-646a-441f-ad38-882c44ad7937}" id="{2dc34729-3990-4cdd-8bd8-9bde17f8eb9f}" parentId="{dc363243-3866-40ed-a303-a5c2753eea95}">
    <x18tc:text xml:space="preserve">Thank you very much for taking the time to use the excel to share information. I  cant make any payments directly to your credit card.  I do not have direct access only indirect access. We have cash available in our accounts so I am not understanding why we had to pay our medical bill expense of $469 with our credit card. You have access to all of our accounts, which account did not have enough cash to cover this so I explore and understand where the money went?</x18tc:text>
  </x18tc:threadedComment>
  <x18tc:threadedComment ref="A1" dT="2019-10-15T04:43:25.00" personId="{4b7736df-c089-4399-8ba5-de0e68c6f896}" id="{46a4e260-295a-4a5c-b3d1-e215a163f10a}" parentId="{dc363243-3866-40ed-a303-a5c2753eea95}">
    <x18tc:text xml:space="preserve">I'm not sure what account I'm supposed to get the $469 from?</x18tc:text>
  </x18tc:threadedComment>
  <x18tc:threadedComment ref="A1" dT="2020-02-01T03:40:53.00" personId="{58ef522c-646a-441f-ad38-882c44ad7937}" id="{101cdd2a-1cd8-42f9-b904-b80256ec54b4}" done="0">
    <x18tc:text xml:space="preserve">Which Account is Jamie's Account? @jsross526@gmail.com</x18tc:text>
    <x18tc:mentions>
      <x18tc:mention mentionpersonId="{33d74fd4-b490-414b-b3ab-0e991e675204}" mentionId="{af31a019-eadf-4f6e-955c-654be38c8004}" startIndex="34" length="20"/>
    </x18tc:mentions>
  </x18tc:threadedComment>
  <x18tc:threadedComment ref="A1" dT="2021-12-01T19:02:21.00" personId="{58ef522c-646a-441f-ad38-882c44ad7937}" id="{d27c5c53-e289-4ed5-b4ac-385a02b87ade}" done="0">
    <x18tc:text xml:space="preserve">@jsross526@gmail.com do we use a credit card for any of these expenses anymore?
Because if not, we can get rid of this sheet
Assigned to jsross526@gmail.com</x18tc:text>
    <x18tc:mentions>
      <x18tc:mention mentionpersonId="{33d74fd4-b490-414b-b3ab-0e991e675204}" mentionId="{c1b0a047-dc04-431a-8713-b8f420f5c4c5}" startIndex="0" length="20"/>
    </x18tc:mentions>
  </x18tc:threadedComment>
  <x18tc:threadedComment ref="A1" dT="2022-05-13T04:41:28.00" personId="{58ef522c-646a-441f-ad38-882c44ad7937}" id="{a0dfa1b7-9646-4f73-b2e1-6cd93c154a68}" parentId="{d27c5c53-e289-4ed5-b4ac-385a02b87ade}">
    <x18tc:text xml:space="preserve">@jsross526@gmail.com ?</x18tc:text>
    <x18tc:mentions>
      <x18tc:mention mentionpersonId="{33d74fd4-b490-414b-b3ab-0e991e675204}" mentionId="{abb1c829-8570-44a9-9501-26a82c63fd9e}" startIndex="0" length="20"/>
    </x18tc:mentions>
  </x18tc:threadedComment>
  <x18tc:threadedComment ref="A1" dT="2022-05-18T02:30:05.00" personId="{58ef522c-646a-441f-ad38-882c44ad7937}" id="{88c118f3-60e8-4db4-ba02-11cee3191d83}" parentId="{d27c5c53-e289-4ed5-b4ac-385a02b87ade}">
    <x18tc:text xml:space="preserve">@jsross526@gmail.com ?</x18tc:text>
    <x18tc:mentions>
      <x18tc:mention mentionpersonId="{33d74fd4-b490-414b-b3ab-0e991e675204}" mentionId="{c18f4571-07a3-44ba-bde7-90015d797c6a}" startIndex="0" length="20"/>
    </x18tc:mentions>
  </x18tc:threadedComment>
  <x18tc:threadedComment ref="A13" dT="2022-05-13T04:39:14.00" personId="{58ef522c-646a-441f-ad38-882c44ad7937}" id="{7b7017e0-4ec5-4839-b733-eac15a286e98}" done="1">
    <x18tc:text xml:space="preserve">@jsross526@gmail.com I would start putting money in your Roth now as much as you feel comfortable with per month
Assigned to jsross526@gmail.com</x18tc:text>
    <x18tc:mentions>
      <x18tc:mention mentionpersonId="{33d74fd4-b490-414b-b3ab-0e991e675204}" mentionId="{7eec3322-6ad6-4401-b5cb-336ca794e26a}" startIndex="0" length="20"/>
    </x18tc:mentions>
  </x18tc:threadedComment>
  <x18tc:threadedComment ref="A1" dT="2022-05-02T22:57:22.00" personId="{4b7736df-c089-4399-8ba5-de0e68c6f896}" id="{9487a276-3095-4563-8980-930a5ebc465c}" done="1">
    <x18tc:text xml:space="preserve">@kevin.denny.ii@gmail.com $92 will be paid out of HSA unless remaining balance can be paid in June
Assigned to kevin.denny.ii@gmail.com</x18tc:text>
    <x18tc:mentions>
      <x18tc:mention mentionpersonId="{a2a0244d-acc1-4835-a298-707089522525}" mentionId="{20ff9f82-98cc-44e4-9585-a236ab2f5410}" startIndex="0" length="25"/>
    </x18tc:mentions>
  </x18tc:threadedComment>
  <x18tc:threadedComment ref="A1" dT="2022-06-22T15:36:09.00" personId="{4b7736df-c089-4399-8ba5-de0e68c6f896}" id="{eea8be56-d768-49ea-b90d-6a08e266864e}" done="1">
    <x18tc:text xml:space="preserve">@kevin.denny.ii@gmail.com please check on this. I got a text said bill was paid in full; website says balance is $0 but not seeing how this is possible??
Assigned to kevin.denny.ii@gmail.com</x18tc:text>
    <x18tc:mentions>
      <x18tc:mention mentionpersonId="{a2a0244d-acc1-4835-a298-707089522525}" mentionId="{4fa22ccb-9b7c-46b6-ac7c-8af1567ce90d}" startIndex="0" length="25"/>
    </x18tc:mentions>
  </x18tc:threadedComment>
  <x18tc:threadedComment ref="A1" dT="2022-06-22T16:54:37.00" personId="{58ef522c-646a-441f-ad38-882c44ad7937}" id="{9f70bc38-cadc-4436-9210-99d185a19644}" parentId="{eea8be56-d768-49ea-b90d-6a08e266864e}">
    <x18tc:text xml:space="preserve">@jsross526@gmail.com I dont see how it was possible either. I had forgotten to ask you about this and what happened.  Ill communicate with them</x18tc:text>
    <x18tc:mentions>
      <x18tc:mention mentionpersonId="{33d74fd4-b490-414b-b3ab-0e991e675204}" mentionId="{f1a94602-85c0-4bf1-b77a-a91db23a5bcb}" startIndex="0" length="20"/>
    </x18tc:mentions>
  </x18tc:threadedComment>
  <x18tc:threadedComment ref="A1" dT="2022-06-23T18:27:41.00" personId="{58ef522c-646a-441f-ad38-882c44ad7937}" id="{46378c1e-1f5c-41f2-b218-b0cf4db4def3}" parentId="{eea8be56-d768-49ea-b90d-6a08e266864e}">
    <x18tc:text xml:space="preserve">@jsross526@gmail.com I called about this account and right now it is closed or payments and has current balance of what you see already updated. Similar the North Central Baptist account, we dont have to make any payments to we get notice of a new statement as we await what is happening.
Reassigned to jsross526@gmail.com</x18tc:text>
    <x18tc:mentions>
      <x18tc:mention mentionpersonId="{33d74fd4-b490-414b-b3ab-0e991e675204}" mentionId="{101552c2-92c9-4432-a370-86d88a6fa117}" startIndex="0" length="20"/>
    </x18tc:mentions>
  </x18tc:threadedComment>
  <x18tc:threadedComment ref="A1" dT="2022-07-04T14:49:15.00" personId="{4b7736df-c089-4399-8ba5-de0e68c6f896}" id="{e490fd1f-1368-4461-b87b-4ca304ffb5c1}" parentId="{eea8be56-d768-49ea-b90d-6a08e266864e}">
    <x18tc:text xml:space="preserve">@kevin.denny.ii@gmail.com what happened for some reason the kids Medicaid was showing as active so it paid on these bills. Please call them and let them know we do not have secondary insurance so they can fix the bill. I hope these monthly payment arrangements will resume in August
Reassigned to kevin.denny.ii@gmail.com</x18tc:text>
    <x18tc:mentions>
      <x18tc:mention mentionpersonId="{a2a0244d-acc1-4835-a298-707089522525}" mentionId="{1858cc48-859b-4f40-936c-3ccf787d60bd}" startIndex="0" length="25"/>
    </x18tc:mentions>
  </x18tc:threadedComment>
  <x18tc:threadedComment ref="A1" dT="2022-07-11T17:28:34.00" personId="{58ef522c-646a-441f-ad38-882c44ad7937}" id="{58dfee7a-bbe1-483f-babe-7d4b6a0475a7}" parentId="{eea8be56-d768-49ea-b90d-6a08e266864e}">
    <x18tc:text xml:space="preserve">@jsross526@gmail.com This has been updated.  This account was updated today with the correct balance again so I was able to initiate another payment plan
Reassigned to jsross526@gmail.com</x18tc:text>
    <x18tc:mentions>
      <x18tc:mention mentionpersonId="{33d74fd4-b490-414b-b3ab-0e991e675204}" mentionId="{3f4766db-9bfd-4f46-9724-8d0a4b60a95c}" startIndex="0" length="20"/>
    </x18tc:mentions>
  </x18tc:threadedComment>
  <x18tc:threadedComment ref="A1" dT="2022-07-11T17:58:59.00" personId="{4b7736df-c089-4399-8ba5-de0e68c6f896}" id="{b7941d22-7660-4348-a240-d9c57f38e538}" parentId="{eea8be56-d768-49ea-b90d-6a08e266864e}">
    <x18tc:text xml:space="preserve">Ok yes, I got a text</x18tc:text>
  </x18tc:threadedComment>
  <x18tc:threadedComment ref="A1" dT="2020-02-01T03:39:26.00" personId="{58ef522c-646a-441f-ad38-882c44ad7937}" id="{a425cdfb-5f1c-45ec-8f8e-4084f978c82d}" done="0">
    <x18tc:text xml:space="preserve">Why are able to use Credit Cards for payments but not cash on a Prepaid Card? @jsross526@gmail.com</x18tc:text>
    <x18tc:mentions>
      <x18tc:mention mentionpersonId="{33d74fd4-b490-414b-b3ab-0e991e675204}" mentionId="{99d4dff7-41dd-4bd1-8fb5-2bedd28b8fa4}" startIndex="78" length="20"/>
    </x18tc:mentions>
  </x18tc:threadedComment>
  <x18tc:threadedComment ref="A1" dT="2020-02-01T03:53:55.00" personId="{58ef522c-646a-441f-ad38-882c44ad7937}" id="{33f91ae9-db7e-497a-8463-408dd17d4469}" parentId="{a425cdfb-5f1c-45ec-8f8e-4084f978c82d}">
    <x18tc:text xml:space="preserve">The goal is to build discipline in the use of Credit Cards because we have never had discipline in that use since we have been married and we have not had a year in which our debt did not go up.  Stopping the immediate temporary use of credit cards would be in our best interest to removing debt.</x18tc:text>
  </x18tc:threadedComment>
  <x18tc:threadedComment ref="A8" dT="2022-05-13T04:38:19.00" personId="{58ef522c-646a-441f-ad38-882c44ad7937}" id="{eec86c50-6427-452b-b3e4-946292d79bc9}" done="1">
    <x18tc:text xml:space="preserve">@jsross526@gmail.com which savings is this going to? our $1000 Emergency fund? and then we should put this towards credit card debt?
Assigned to jsross526@gmail.com</x18tc:text>
    <x18tc:mentions>
      <x18tc:mention mentionpersonId="{33d74fd4-b490-414b-b3ab-0e991e675204}" mentionId="{b995e231-5ea9-4c35-96e4-531c71eb7f53}" startIndex="0" length="20"/>
    </x18tc:mentions>
  </x18tc:threadedComment>
  <x18tc:threadedComment ref="A8" dT="2022-06-21T15:56:23.00" personId="{58ef522c-646a-441f-ad38-882c44ad7937}" id="{d1daa222-eabe-45f7-a804-845cd52d6d4f}" parentId="{eec86c50-6427-452b-b3e4-946292d79bc9}">
    <x18tc:text xml:space="preserve">You answered this in our counseling session  on 6/18/2022 so I updated it the notes.  so confirming this is $300 per paycheck right?</x18tc:text>
  </x18tc:threadedComment>
  <x18tc:threadedComment ref="A8" dT="2022-06-22T15:14:06.00" personId="{4b7736df-c089-4399-8ba5-de0e68c6f896}" id="{bb7f1948-7488-498a-b16a-4b64329f60af}" parentId="{eec86c50-6427-452b-b3e4-946292d79bc9}">
    <x18tc:text xml:space="preserve">Yes, $300 per check. I transfer this into my Navy Federal savings (external account in USSA)</x18tc:text>
  </x18tc:threadedComment>
  <x18tc:threadedComment ref="A1" dT="2022-08-31T20:08:17.00" personId="{4b7736df-c089-4399-8ba5-de0e68c6f896}" id="{806946d9-7172-432d-971b-3793f1fe1c3a}" done="1">
    <x18tc:text xml:space="preserve">make payment with new HSA card</x18tc:text>
  </x18tc:threadedComment>
  <x18tc:threadedComment ref="A1" dT="2023-04-27T19:59:58.00" personId="{4b7736df-c089-4399-8ba5-de0e68c6f896}" id="{292067a9-67aa-464c-996e-1e0540bc10d0}" done="0">
    <x18tc:text xml:space="preserve">@kevin.denny.ii@gmail.com ; we will have to start first payment for RCBA their payment schedule is July-May $1424.60. They do require new student enrollment fees
Assigned to kevin.denny.ii@gmail.com</x18tc:text>
    <x18tc:mentions>
      <x18tc:mention mentionpersonId="{a2a0244d-acc1-4835-a298-707089522525}" mentionId="{b983f085-ec08-4fbc-9cbf-5dab404c0024}" startIndex="0" length="25"/>
    </x18tc:mentions>
  </x18tc:threadedComment>
  <x18tc:threadedComment ref="A1" dT="2023-05-19T17:46:29.00" personId="{58ef522c-646a-441f-ad38-882c44ad7937}" id="{286a8b78-9a10-4a50-a200-551993eac341}" parentId="{292067a9-67aa-464c-996e-1e0540bc10d0}">
    <x18tc:text xml:space="preserve">would you update this for the summer? I dont remember the exact amount you stated
A separate line item is added for Believers Academy</x18tc:text>
  </x18tc:threadedComment>
  <x18tc:threadedComment ref="A1" dT="2023-06-05T11:57:35.00" personId="{58ef522c-646a-441f-ad38-882c44ad7937}" id="{cafebec1-4446-4417-9fdd-9c8a3a56165f}" parentId="{292067a9-67aa-464c-996e-1e0540bc10d0}">
    <x18tc:text xml:space="preserve">@jsross526@gmail.com can you please update this?
Reassigned to jsross526@gmail.com</x18tc:text>
    <x18tc:mentions>
      <x18tc:mention mentionpersonId="{33d74fd4-b490-414b-b3ab-0e991e675204}" mentionId="{6f01dd22-18cd-4da1-b09f-1990d1509a04}" startIndex="0" length="20"/>
    </x18tc:mentions>
  </x18tc:threadedComment>
  <x18tc:threadedComment ref="A1" dT="2019-09-13T15:00:57.00" personId="{58ef522c-646a-441f-ad38-882c44ad7937}" id="{f59bb009-770a-4cda-abc0-641cc682e2e7}" done="0">
    <x18tc:text xml:space="preserve">I created another sheet just in case you want to take the load off your plate and have us both keep track of the bills.  All you would need to do is enter numbers. Excel can do the rest if you so choose @jsross526@gmail.com
Assigned to jsross526@gmail.com</x18tc:text>
    <x18tc:mentions>
      <x18tc:mention mentionpersonId="{33d74fd4-b490-414b-b3ab-0e991e675204}" mentionId="{7202bd78-0429-4aa1-bbe9-70b1ffab2e23}" startIndex="203" length="20"/>
    </x18tc:mentions>
  </x18tc:threadedComment>
  <x18tc:threadedComment ref="A1" dT="2019-09-13T19:34:29.00" personId="{4b7736df-c089-4399-8ba5-de0e68c6f896}" id="{5a951a2e-6df2-4eb7-9b65-98f59385a173}" parentId="{f59bb009-770a-4cda-abc0-641cc682e2e7}">
    <x18tc:text xml:space="preserve">Biller Total Amount Due Monthly payment Balance as of 9/13
San Antonio Mid Wife $2,550 varied $1,500.00
North Central Baptist ER $2,782.62 $116 --------ongoing paid
North Central OB services $901 pay upon delivery
Cleveland Heart Lab $395.15 $100 $195
Natera $243 $50 $193
Baptist Emergency Hospital $301.85 $50 $176.86
Spectracell Laboratories $190 $50 $40
US-Acute Care--103 $200 $50
US-Acute Care--100 $262.05 $50</x18tc:text>
  </x18tc:threadedComment>
  <x18tc:threadedComment ref="A1" dT="2019-09-15T19:17:37.00" personId="{58ef522c-646a-441f-ad38-882c44ad7937}" id="{f7c1979e-9589-4ea5-927f-c98b46752f8f}" parentId="{f59bb009-770a-4cda-abc0-641cc682e2e7}">
    <x18tc:text xml:space="preserve">Updated @jsross526@gmail.com</x18tc:text>
    <x18tc:mentions>
      <x18tc:mention mentionpersonId="{33d74fd4-b490-414b-b3ab-0e991e675204}" mentionId="{cbd4a5f0-e91a-48ba-991c-010e29393440}" startIndex="8" length="20"/>
    </x18tc:mentions>
  </x18tc:threadedComment>
  <x18tc:threadedComment ref="A1" dT="2022-05-02T22:29:28.00" personId="{4b7736df-c089-4399-8ba5-de0e68c6f896}" id="{386fa631-7011-4bed-bcf4-e045f7ac3a74}" done="1">
    <x18tc:text xml:space="preserve">@kevin.denny.ii@gmail.com this will need to be paid outside of HSA for month of May
Assigned to kevin.denny.ii@gmail.com</x18tc:text>
    <x18tc:mentions>
      <x18tc:mention mentionpersonId="{a2a0244d-acc1-4835-a298-707089522525}" mentionId="{e6756d06-6c42-493a-950a-98ff778eb83c}" startIndex="0" length="25"/>
    </x18tc:mentions>
  </x18tc:threadedComment>
  <x18tc:threadedComment ref="A1" dT="2022-05-03T05:20:50.00" personId="{58ef522c-646a-441f-ad38-882c44ad7937}" id="{7f0a9854-5086-4db2-8b52-79ababffd0d9}" done="1">
    <x18tc:text xml:space="preserve">@jsross526@gmail.com can you update this please?
Assigned to jsross526@gmail.com</x18tc:text>
    <x18tc:mentions>
      <x18tc:mention mentionpersonId="{33d74fd4-b490-414b-b3ab-0e991e675204}" mentionId="{c547dd9d-92e3-48d4-9e4c-f0cd0f5bcce6}" startIndex="0" length="20"/>
    </x18tc:mentions>
  </x18tc:threadedComment>
  <x18tc:threadedComment ref="A1" dT="2019-10-19T16:31:48.00" personId="{58ef522c-646a-441f-ad38-882c44ad7937}" id="{68865318-4130-4ca8-894c-f236ae56ec84}" done="1">
    <x18tc:text xml:space="preserve">@jsross526@gmail.com updated amount for Preschool and MDO has been removed</x18tc:text>
    <x18tc:mentions>
      <x18tc:mention mentionpersonId="{33d74fd4-b490-414b-b3ab-0e991e675204}" mentionId="{e0ec05c3-7e31-40d9-958d-b555a9cae5c4}" startIndex="0" length="20"/>
    </x18tc:mentions>
  </x18tc:threadedComment>
  <x18tc:threadedComment ref="A1" dT="2022-11-11T13:49:43.00" personId="{58ef522c-646a-441f-ad38-882c44ad7937}" id="{49bc416d-33af-4b2f-af6f-b90300299ea4}" done="1">
    <x18tc:text xml:space="preserve">@jsross526@gmail.com you probably will be against this but i was thinking we make this account your allowance account for $200/month to spend solely for you and we use the Family account for both of our incomes</x18tc:text>
    <x18tc:mentions>
      <x18tc:mention mentionpersonId="{33d74fd4-b490-414b-b3ab-0e991e675204}" mentionId="{374f315a-48ff-433d-938f-d7a66b93bcca}" startIndex="0" length="20"/>
    </x18tc:mentions>
  </x18tc:threadedComment>
  <x18tc:threadedComment ref="A1" dT="2017-12-11T06:00:31.00" personId="{58ef522c-646a-441f-ad38-882c44ad7937}" id="{3a548569-36f7-416b-813d-992d7f698c1c}" done="1">
    <x18tc:text xml:space="preserve">@jsross526@gmail.com I updated expenses, total income, and the amount after expenses on here. You can add on here very easily but going to "Insert" then "Row Below" and it will automatically do the calculation for you :-)
There is also another sheet with what expenses are paid for with our Credit Cards
Assigned to jsross526@gmail.com</x18tc:text>
    <x18tc:mentions>
      <x18tc:mention mentionpersonId="{33d74fd4-b490-414b-b3ab-0e991e675204}" mentionId="{88dfdaca-f9e2-4788-97ed-66002ba07d4d}" startIndex="0" length="20"/>
    </x18tc:mentions>
  </x18tc:threadedComment>
  <x18tc:threadedComment ref="A1" dT="2017-12-11T09:05:04.00" personId="{58ef522c-646a-441f-ad38-882c44ad7937}" id="{2465d33a-adfb-489b-9a5a-1ebdf0fa9c87}" parentId="{3a548569-36f7-416b-813d-992d7f698c1c}">
    <x18tc:text xml:space="preserve">Marked as done</x18tc:text>
  </x18tc:threadedComment>
  <x18tc:threadedComment ref="A1" dT="2017-12-11T09:43:12.00" personId="{4b7736df-c089-4399-8ba5-de0e68c6f896}" id="{ca37ad4b-3a46-4ded-bebc-b4fea2711895}" parentId="{3a548569-36f7-416b-813d-992d7f698c1c}">
    <x18tc:text xml:space="preserve">Your numbers are incorrect. Your amount deposits into you account on last
month was $4460. Not sure where you getting these numbers from???
Re-opened</x18tc:text>
  </x18tc:threadedComment>
  <x18tc:threadedComment ref="A1" dT="2017-12-11T09:52:06.00" personId="{58ef522c-646a-441f-ad38-882c44ad7937}" id="{fb01faa8-369e-4fdf-a150-b2991c2d4e75}" parentId="{3a548569-36f7-416b-813d-992d7f698c1c}">
    <x18tc:text xml:space="preserve">Check email for Dec 1 Paycheck</x18tc:text>
  </x18tc:threadedComment>
  <x18tc:threadedComment ref="A8" dT="2019-05-30T15:21:09.00" personId="{58ef522c-646a-441f-ad38-882c44ad7937}" id="{61d44bb2-4907-4bb3-a03b-0861be98e184}" done="1">
    <x18tc:text xml:space="preserve">@jsross526@gmail.com temporarily suspending our $400 a month in savings to put towards the $650 every two weeks in savings.  I am only making minimal payments on my credit card.  Please continue to pay on your credit card as you have been.  I made this decision quickly as I was looking at our cash flow otherwise we would have been spending well beyond our means. That is the only reason I quickly did this... If you are not Ok with this and/or also have another solution please let me know
Assigned to jsross526@gmail.com</x18tc:text>
    <x18tc:mentions>
      <x18tc:mention mentionpersonId="{33d74fd4-b490-414b-b3ab-0e991e675204}" mentionId="{c8f931fb-1593-4180-8444-7336f33f2e26}" startIndex="0" length="20"/>
    </x18tc:mentions>
  </x18tc:threadedComment>
  <x18tc:threadedComment ref="A1" dT="2023-03-31T17:25:52.00" personId="{4b7736df-c089-4399-8ba5-de0e68c6f896}" id="{7b0a8bd1-b427-4ae8-9d6a-8c2c78e1b144}" done="0">
    <x18tc:text xml:space="preserve">3/31: still in process with insurance</x18tc:text>
  </x18tc:threadedComment>
  <x18tc:threadedComment ref="A1" dT="2020-02-01T03:38:47.00" personId="{58ef522c-646a-441f-ad38-882c44ad7937}" id="{b75cea7c-4730-4c77-a7c8-b5e97f391880}" done="0">
    <x18tc:text xml:space="preserve">Which Account is Kevin's Account? @jsross526@gmail.com</x18tc:text>
    <x18tc:mentions>
      <x18tc:mention mentionpersonId="{33d74fd4-b490-414b-b3ab-0e991e675204}" mentionId="{26f2bcbc-a6f6-47c1-bc43-3da092e9c68a}" startIndex="34" length="20"/>
    </x18tc:mentions>
  </x18tc:threadedComment>
  <x18tc:threadedComment ref="A1" dT="2020-02-01T03:55:51.00" personId="{58ef522c-646a-441f-ad38-882c44ad7937}" id="{79b9b950-1281-4f6f-8214-fe68ff3fbc0d}" done="0">
    <x18tc:text xml:space="preserve">Why is this separated in separate accounts? @jsross526@gmail.com</x18tc:text>
    <x18tc:mentions>
      <x18tc:mention mentionpersonId="{33d74fd4-b490-414b-b3ab-0e991e675204}" mentionId="{53de4057-88e2-4b9c-b039-65abf6003f2f}" startIndex="44" length="20"/>
    </x18tc:mentions>
  </x18tc:threadedComment>
  <x18tc:threadedComment ref="A1" dT="2021-11-07T21:18:57.00" personId="{4b7736df-c089-4399-8ba5-de0e68c6f896}" id="{76226d6a-5163-4395-9b11-726808148081}" done="1">
    <x18tc:text xml:space="preserve">Paid $100 on 11/7/21</x18tc:text>
  </x18tc:threadedComment>
  <x18tc:threadedComment ref="A1" dT="2023-03-31T16:58:05.00" personId="{4b7736df-c089-4399-8ba5-de0e68c6f896}" id="{102b5037-b1ad-4b78-b0fd-fab500bb3c7b}" done="1">
    <x18tc:text xml:space="preserve">3/31: bill is still in process with insurance, no payments are being made at this time</x18tc:text>
  </x18tc:threadedComment>
  <x18tc:threadedComment ref="A1" dT="2020-02-01T03:55:58.00" personId="{58ef522c-646a-441f-ad38-882c44ad7937}" id="{a4a05c0b-b270-4e2e-bdfc-c60d7ad94165}" done="0">
    <x18tc:text xml:space="preserve">Why is this separated in separate accounts? @jsross526@gmail.com</x18tc:text>
    <x18tc:mentions>
      <x18tc:mention mentionpersonId="{33d74fd4-b490-414b-b3ab-0e991e675204}" mentionId="{89bbaf90-6953-420a-ad70-82cf4a83b275}" startIndex="44" length="20"/>
    </x18tc:mentions>
  </x18tc:threadedComment>
  <x18tc:threadedComment ref="A1" dT="2023-04-03T16:21:02.00" personId="{4b7736df-c089-4399-8ba5-de0e68c6f896}" id="{0de162aa-c00f-48ab-aafd-d985bf8f7d9e}" done="0">
    <x18tc:text xml:space="preserve">@this needs to be adjusted</x18tc:text>
  </x18tc:threadedComment>
  <x18tc:threadedComment ref="A1" dT="2023-04-03T16:27:16.00" personId="{58ef522c-646a-441f-ad38-882c44ad7937}" id="{4f237754-a26e-4b0b-b230-b7050518dcc2}" parentId="{0de162aa-c00f-48ab-aafd-d985bf8f7d9e}">
    <x18tc:text xml:space="preserve">Ok. Adjust it.</x18tc:text>
  </x18tc:threadedComment>
  <x18tc:threadedComment ref="A1" dT="2023-04-03T16:56:29.00" personId="{4b7736df-c089-4399-8ba5-de0e68c6f896}" id="{bb405d2d-712c-4b77-a0b9-05bd6beba50d}" parentId="{0de162aa-c00f-48ab-aafd-d985bf8f7d9e}">
    <x18tc:text xml:space="preserve">I know that note wasn't for  you that is why I didn't @ you</x18tc:text>
  </x18tc:threadedComment>
  <x18tc:threadedComment ref="A1" dT="2023-06-05T12:00:27.00" personId="{58ef522c-646a-441f-ad38-882c44ad7937}" id="{8a1f01f9-e8a1-4c67-b381-9ddb1414b11b}" parentId="{0de162aa-c00f-48ab-aafd-d985bf8f7d9e}">
    <x18tc:text xml:space="preserve">@jsross526@gmail.com and this still has not been adjusted. just trying to keep track since you said at one point it was not enough based on what is spent</x18tc:text>
    <x18tc:mentions>
      <x18tc:mention mentionpersonId="{33d74fd4-b490-414b-b3ab-0e991e675204}" mentionId="{34ee199a-6824-4b87-bcca-2313bdb6987d}" startIndex="0" length="20"/>
    </x18tc:mentions>
  </x18tc:threadedComment>
  <x18tc:threadedComment ref="A1" dT="2022-11-15T17:10:17.00" personId="{58ef522c-646a-441f-ad38-882c44ad7937}" id="{795460f9-3bfa-4a28-9710-93748f764b3a}" done="1">
    <x18tc:text xml:space="preserve">@jsross526@gmail.com what dos "0" mean?
Assigned to jsross526@gmail.com</x18tc:text>
    <x18tc:mentions>
      <x18tc:mention mentionpersonId="{33d74fd4-b490-414b-b3ab-0e991e675204}" mentionId="{587da96e-e51e-4d30-93d2-793ae044208f}" startIndex="0" length="20"/>
    </x18tc:mentions>
  </x18tc:threadedComment>
  <x18tc:threadedComment ref="A1" dT="2022-11-15T17:48:01.00" personId="{4b7736df-c089-4399-8ba5-de0e68c6f896}" id="{1f234494-fd0a-43be-87b4-6fb1cc604eb5}" parentId="{795460f9-3bfa-4a28-9710-93748f764b3a}">
    <x18tc:text xml:space="preserve">That information got deleted by mistake; will update</x18tc:text>
  </x18tc:threadedComment>
  <x18tc:threadedComment ref="A1" dT="2020-02-01T03:55:10.00" personId="{58ef522c-646a-441f-ad38-882c44ad7937}" id="{e74b706d-e895-44c9-b002-68b98d369c14}" done="0">
    <x18tc:text xml:space="preserve">Why is this not considered a Monthly Bill? @jsross526@gmail.com</x18tc:text>
    <x18tc:mentions>
      <x18tc:mention mentionpersonId="{33d74fd4-b490-414b-b3ab-0e991e675204}" mentionId="{791db1df-2f33-45fe-a482-f937896194ae}" startIndex="43" length="20"/>
    </x18tc:mentions>
  </x18tc:threadedComment>
  <x18tc:threadedComment ref="A1" dT="2020-02-01T04:19:47.00" personId="{58ef522c-646a-441f-ad38-882c44ad7937}" id="{3edbbc41-15d1-4c82-ab87-081571c971f5}" done="0">
    <x18tc:text xml:space="preserve">I understand that you want to separate where money comes from.  It alllows us to keep track of what money is coming from which account. That was part of my goal in the use of Prepaid Cards. My idea was for the Family Checking account to be the main account but you request to have funds going into your USAA account for paying bills and groceries as well.  This made it a bit difficult to accomplish just using our cash and accounting for it from one central place. That is cash we can easily account for and control.  It also builds discipline in understanding you cant just continuously swipe with the luxury of borrowing money in hopes that you will put it back, which factually has not worked for us in the last 5 years otherwise our debt would either remained unchanged or would have been decreasing. @jsross526@gmail.com</x18tc:text>
    <x18tc:mentions>
      <x18tc:mention mentionpersonId="{33d74fd4-b490-414b-b3ab-0e991e675204}" mentionId="{ac3b1e29-d454-4c14-9077-26819a8c7bb9}" startIndex="806" length="20"/>
    </x18tc:mentions>
  </x18tc:threadedComment>
  <x18tc:threadedComment ref="A1" dT="2023-12-21T15:27:42.00" personId="{4b7736df-c089-4399-8ba5-de0e68c6f896}" id="{c73665ae-24da-4a71-99a0-3394f5a9863c}" done="0">
    <x18tc:text xml:space="preserve">payment plan good until May 2024, ext 5140 Romanica (12/21/24)</x18tc:text>
  </x18tc:threadedComment>
  <x18tc:threadedComment ref="A1" dT="2022-11-15T17:09:51.00" personId="{58ef522c-646a-441f-ad38-882c44ad7937}" id="{8b7ec014-89b4-43ee-9224-49ed2ed8f0de}" done="1">
    <x18tc:text xml:space="preserve">@jsross526@gmail.com what does the "x" and red color represent here?  No notes or anything were left
Assigned to jsross526@gmail.com</x18tc:text>
    <x18tc:mentions>
      <x18tc:mention mentionpersonId="{33d74fd4-b490-414b-b3ab-0e991e675204}" mentionId="{2e202cf1-f113-4e9b-ba9c-0f9bb6295e10}" startIndex="0" length="20"/>
    </x18tc:mentions>
  </x18tc:threadedComment>
  <x18tc:threadedComment ref="A1" dT="2022-11-15T17:49:07.00" personId="{4b7736df-c089-4399-8ba5-de0e68c6f896}" id="{c51ec94c-4dbd-4fc7-afa4-178bcc9aea1b}" parentId="{8b7ec014-89b4-43ee-9224-49ed2ed8f0de}">
    <x18tc:text xml:space="preserve">That was my note, I can remove once I update all the card; that was my way of knowing which payments were made and which were not; red boxes are the ones that did not get paid in October for some reason; I need to call. Have not done yet; once I reconcile I will removed red &amp; x's</x18tc:text>
  </x18tc:threadedComment>
  <x18tc:threadedComment ref="A8" dT="2022-07-04T23:34:38.00" personId="{58ef522c-646a-441f-ad38-882c44ad7937}" id="{0476fa17-d03f-476d-85ee-8e98669cb59e}" done="1">
    <x18tc:text xml:space="preserve">@jsross526@gmail.com I think if you do an additional $600 ($300 every paycheck) from your pay checks every month we will be good to go for our vacations since $600 is already coming from mine.  Yes? :-)
Assigned to jsross526@gmail.com</x18tc:text>
    <x18tc:mentions>
      <x18tc:mention mentionpersonId="{33d74fd4-b490-414b-b3ab-0e991e675204}" mentionId="{ea1d4f48-250c-4421-9518-c662fa5d811a}" startIndex="0" length="20"/>
    </x18tc:mentions>
  </x18tc:threadedComment>
  <x18tc:threadedComment ref="A8" dT="2022-08-03T16:53:23.00" personId="{4b7736df-c089-4399-8ba5-de0e68c6f896}" id="{e70e187b-8182-4209-94bd-be0fbcfb4070}" parentId="{0476fa17-d03f-476d-85ee-8e98669cb59e}">
    <x18tc:text xml:space="preserve">Marked as done</x18tc:text>
  </x18tc:threadedComment>
  <x18tc:threadedComment ref="A8" dT="2022-08-04T04:21:43.00" personId="{58ef522c-646a-441f-ad38-882c44ad7937}" id="{24910cb1-1475-4e3e-ae55-203689fab0bb}" parentId="{0476fa17-d03f-476d-85ee-8e98669cb59e}">
    <x18tc:text xml:space="preserve">@jsross526@gmail.com Does "done" mean you are also adding the additional $600 or not?  I did not see this updated
Re-opened</x18tc:text>
    <x18tc:mentions>
      <x18tc:mention mentionpersonId="{33d74fd4-b490-414b-b3ab-0e991e675204}" mentionId="{9a54ce1b-3c2f-4650-8f7a-e193df9c3d9a}" startIndex="0" length="20"/>
    </x18tc:mentions>
  </x18tc:threadedComment>
  <x18tc:threadedComment ref="A8" dT="2022-08-08T15:55:25.00" personId="{58ef522c-646a-441f-ad38-882c44ad7937}" id="{11be08c3-85af-45c2-9c16-48512b95092b}" parentId="{0476fa17-d03f-476d-85ee-8e98669cb59e}">
    <x18tc:text xml:space="preserve">@jsross526@gmail.com I would like suggest again, saving some additional funds to this account as we have plenty of funds coming in based on our total monthly income and expenses.
What do you think?</x18tc:text>
    <x18tc:mentions>
      <x18tc:mention mentionpersonId="{33d74fd4-b490-414b-b3ab-0e991e675204}" mentionId="{14fda4dc-a51e-4b65-9b59-03e14ecca588}" startIndex="0" length="20"/>
    </x18tc:mentions>
  </x18tc:threadedComment>
  <x18tc:threadedComment ref="A8" dT="2022-08-08T20:28:10.00" personId="{4b7736df-c089-4399-8ba5-de0e68c6f896}" id="{341fd7af-bfb4-4fcf-b1b5-d407611b13bb}" parentId="{0476fa17-d03f-476d-85ee-8e98669cb59e}">
    <x18tc:text xml:space="preserve">I'm not sure if that will be possible. As you can see by the few days leading up to next payday there is low funds available. The kids tuition for school increased $284, plus if student loans start as well that is $250. That would be additional $534 a month starting in September</x18tc:text>
  </x18tc:threadedComment>
  <x18tc:threadedComment ref="A8" dT="2022-08-08T20:28:25.00" personId="{4b7736df-c089-4399-8ba5-de0e68c6f896}" id="{755da1a1-00c7-452e-a0da-4168891649c3}" parentId="{0476fa17-d03f-476d-85ee-8e98669cb59e}">
    <x18tc:text xml:space="preserve">@kevin.denny.ii@gmail.com
Reassigned to kevin.denny.ii@gmail.com</x18tc:text>
    <x18tc:mentions>
      <x18tc:mention mentionpersonId="{a2a0244d-acc1-4835-a298-707089522525}" mentionId="{ad4355f3-d620-460b-8bb4-416e95c0aa04}" startIndex="0" length="25"/>
    </x18tc:mentions>
  </x18tc:threadedComment>
  <x18tc:threadedComment ref="A8" dT="2022-08-08T22:11:51.00" personId="{58ef522c-646a-441f-ad38-882c44ad7937}" id="{b416b8de-4f34-4a96-99a4-db10868dcdf9}" parentId="{0476fa17-d03f-476d-85ee-8e98669cb59e}">
    <x18tc:text xml:space="preserve">@jsross526@gmail.com then I think we need to update our expenses because as far as I can see, it is extremely possible to add funds to savings and if we are saying we can afford trips, which I most certainly believe we can, then we should be able to save for them.
Even with the tuition going up, we still have funds to save with all our expenses.  
and if we are not needing to adjust our current actual spending then we should reflect that on our expenses and adjust what we are spending the monthly sheet
Reassigned to jsross526@gmail.com</x18tc:text>
    <x18tc:mentions>
      <x18tc:mention mentionpersonId="{33d74fd4-b490-414b-b3ab-0e991e675204}" mentionId="{0441201b-1dc5-41c5-8d5f-726f4cf4bef3}" startIndex="0" length="20"/>
    </x18tc:mentions>
  </x18tc:threadedComment>
  <x18tc:threadedComment ref="A8" dT="2022-08-08T22:33:35.00" personId="{4b7736df-c089-4399-8ba5-de0e68c6f896}" id="{3886d618-aeb0-4f0b-8428-8f8b73a5fad6}" parentId="{0476fa17-d03f-476d-85ee-8e98669cb59e}">
    <x18tc:text xml:space="preserve">That isn't something I think I can do. When get paid on 1st $1045 I pay automatically...then when get paid 15th pay credit card, pay pal, and now student loans that's 1k plus...</x18tc:text>
  </x18tc:threadedComment>
  <x18tc:threadedComment ref="A8" dT="2022-08-09T04:39:34.00" personId="{58ef522c-646a-441f-ad38-882c44ad7937}" id="{46c64f88-9548-47c1-a580-ea55e8b8e8d1}" parentId="{0476fa17-d03f-476d-85ee-8e98669cb59e}">
    <x18tc:text xml:space="preserve">@jsross526@gmail.com these are things I can't see or remember which is why I referred to updating our monthly expenses otherwise I am going to believe we can.  It gives us a true-er view of our finances to make better decisions and plan accordingly</x18tc:text>
    <x18tc:mentions>
      <x18tc:mention mentionpersonId="{33d74fd4-b490-414b-b3ab-0e991e675204}" mentionId="{aa966c49-d0a8-4f32-8970-e01830077af5}" startIndex="0" length="20"/>
    </x18tc:mentions>
  </x18tc:threadedComment>
  <x18tc:threadedComment ref="A1" dT="2020-02-01T03:55:18.00" personId="{58ef522c-646a-441f-ad38-882c44ad7937}" id="{24fd7c3a-1325-4d8b-9137-0f3d536b89f2}" done="0">
    <x18tc:text xml:space="preserve">Why is this not considered a Monthly Bill? @jsross526@gmail.com</x18tc:text>
    <x18tc:mentions>
      <x18tc:mention mentionpersonId="{33d74fd4-b490-414b-b3ab-0e991e675204}" mentionId="{d85b8ad0-b562-4897-bcec-c905ede5b93c}" startIndex="43" length="20"/>
    </x18tc:mentions>
  </x18tc:threadedComment>
  <x18tc:threadedComment ref="A1" dT="2022-08-21T21:02:51.00" personId="{58ef522c-646a-441f-ad38-882c44ad7937}" id="{39fd7bee-976b-4a0c-bf9f-3bb1f06f95a2}" done="1">
    <x18tc:text xml:space="preserve">@jsross526@gmail.com is there any contact information or login for this?
Assigned to jsross526@gmail.com</x18tc:text>
    <x18tc:mentions>
      <x18tc:mention mentionpersonId="{33d74fd4-b490-414b-b3ab-0e991e675204}" mentionId="{40ff8b4d-9c48-45d9-adce-a8bd276a5280}" startIndex="0" length="20"/>
    </x18tc:mentions>
  </x18tc:threadedComment>
  <x18tc:threadedComment ref="A1" dT="2022-08-21T21:45:05.00" personId="{4b7736df-c089-4399-8ba5-de0e68c6f896}" id="{56019d9a-908f-463d-b5b6-8882471e3ffb}" parentId="{39fd7bee-976b-4a0c-bf9f-3bb1f06f95a2}">
    <x18tc:text xml:space="preserve">The patient number is the log in information</x18tc:text>
  </x18tc:threadedComment>
  <x18tc:threadedComment ref="A1" dT="2022-08-21T22:59:41.00" personId="{58ef522c-646a-441f-ad38-882c44ad7937}" id="{e74f5e84-3835-496f-bd2a-c5591d74e540}" parentId="{39fd7bee-976b-4a0c-bf9f-3bb1f06f95a2}">
    <x18tc:text xml:space="preserve">@jsross526@gmail.com what website am I logging into?  Notice how I provided the actual website for you to log into in whatever notes I have provided, if one was provided.  No guess work for you.  I was just hopping for information that anyone of us could easily make payments on behalf of the other if necessary.</x18tc:text>
    <x18tc:mentions>
      <x18tc:mention mentionpersonId="{33d74fd4-b490-414b-b3ab-0e991e675204}" mentionId="{e166220d-7361-470b-8193-be0d42baba6b}" startIndex="0" length="20"/>
    </x18tc:mentions>
  </x18tc:threadedComment>
  <x18tc:threadedComment ref="A1" dT="2022-08-21T21:02:40.00" personId="{58ef522c-646a-441f-ad38-882c44ad7937}" id="{daff6c3b-ea2a-4b0c-9d9e-4bde40050c9e}" done="1">
    <x18tc:text xml:space="preserve">@jsross526@gmail.com is there any contact information or login for this?
Assigned to jsross526@gmail.com</x18tc:text>
    <x18tc:mentions>
      <x18tc:mention mentionpersonId="{33d74fd4-b490-414b-b3ab-0e991e675204}" mentionId="{4deb4c85-d759-4efe-be1b-b16ac2d106b1}" startIndex="0" length="20"/>
    </x18tc:mentions>
  </x18tc:threadedComment>
  <x18tc:threadedComment ref="A1" dT="2019-01-16T03:50:05.00" personId="{58ef522c-646a-441f-ad38-882c44ad7937}" id="{12452944-4ac6-4e2a-b9c7-c6ccefc21174}" done="1">
    <x18tc:text xml:space="preserve">@jsross526@gmail.com so i missed about $400 dollars of the immediate expenses you pay from your checking account unless I need to include the budgeted diapers and groceries.  Also, in the last 120 days (or 4 months) you paid a total of $3624 on your 2 Visa Credit Cards combined. Something is not adding up as our total debt increated by $21,000 since February (See 'Monthly Credit Card Payment' sheet).
Assigned to jsross526@gmail.com</x18tc:text>
    <x18tc:mentions>
      <x18tc:mention mentionpersonId="{33d74fd4-b490-414b-b3ab-0e991e675204}" mentionId="{b6dcfb50-5e8d-404c-b25c-d2c05cb17d88}" startIndex="0" length="20"/>
    </x18tc:mentions>
  </x18tc:threadedComment>
  <x18tc:threadedComment ref="A1" dT="2020-02-01T03:47:52.00" personId="{58ef522c-646a-441f-ad38-882c44ad7937}" id="{6f86184f-2bf6-420c-bc90-fafef3314298}" done="1">
    <x18tc:text xml:space="preserve">"II never had this so it was going on my CC" -Jamie Denny.   I disciplined my self to only use the amount give which mean all the month left back in the USAA account was for you use but when this was created you stated you wanted money to go into your account.  This is why i stated consistently there was always money left in the Family USAA account and you can see all the money that was assigned to me for use every month. So there was consistently money left ever because you did not want to go in and use as I consistently stated it was there and it was. @jsross526@gmail.com</x18tc:text>
    <x18tc:mentions>
      <x18tc:mention mentionpersonId="{33d74fd4-b490-414b-b3ab-0e991e675204}" mentionId="{1f846314-59b4-47c2-a892-1b49fa7ddfa4}" startIndex="560" length="20"/>
    </x18tc:mentions>
  </x18tc:threadedComment>
  <x18tc:threadedComment ref="A1" dT="2023-05-03T15:35:15.00" personId="{4b7736df-c089-4399-8ba5-de0e68c6f896}" id="{a2dc3379-e686-4848-b543-a45e95fb0eb0}" done="1">
    <x18tc:text xml:space="preserve">5/3: spoke with representative  account is still being process; spoke with rep Dominic ID#312918</x18tc:text>
  </x18tc:threadedComment>
  <x18tc:threadedComment ref="A1" dT="2023-06-05T11:59:18.00" personId="{58ef522c-646a-441f-ad38-882c44ad7937}" id="{4e8ceff9-ed27-4d87-bd43-707c80a62373}" done="1">
    <x18tc:text xml:space="preserve">@jsross526@gmail.com Can you please update this? Ms. Lori Anne said she was paid but I dont know how. I dont see any amounts being withdrawn for this and I just gave this a random estimate and did not really calculate base on days and hours we expect
Assigned to jsross526@gmail.com</x18tc:text>
    <x18tc:mentions>
      <x18tc:mention mentionpersonId="{33d74fd4-b490-414b-b3ab-0e991e675204}" mentionId="{8cd8e9a1-d9d6-4f0e-b70c-dc551b6b3fbd}" startIndex="0" length="20"/>
    </x18tc:mentions>
  </x18tc:threadedComment>
  <x18tc:threadedComment ref="A1" dT="2020-02-01T03:49:58.00" personId="{58ef522c-646a-441f-ad38-882c44ad7937}" id="{623d6789-be5e-444d-b652-4b9772d7fd53}" done="1">
    <x18tc:text xml:space="preserve">"OhhDenny" - Jamie Denny.  This is partly for OhhDenny Services and also for continuing education.  This is a tool use for coding and creating programs, websites, and apps. @jsross526@gmail.com</x18tc:text>
    <x18tc:mentions>
      <x18tc:mention mentionpersonId="{33d74fd4-b490-414b-b3ab-0e991e675204}" mentionId="{702f6dd9-67ad-4191-8749-62736ddb6bed}" startIndex="173" length="20"/>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3" dT="2023-04-25T19:21:26.00" personId="{4b7736df-c089-4399-8ba5-de0e68c6f896}" id="{ff8a4c74-6e7a-48e7-9fc3-77ee0d9eedf4}" done="1">
    <x18tc:text xml:space="preserve">This is for 2x a week, May &amp; June, it will be $180 when they go to 1x a week</x18tc:text>
  </x18tc:threadedComment>
  <x18tc:threadedComment ref="E2" dT="2022-05-12T14:58:35.00" personId="{4b7736df-c089-4399-8ba5-de0e68c6f896}" id="{2b79787b-d15a-404f-a55e-a2b15317052e}" done="1">
    <x18tc:text xml:space="preserve">@kevin.denny.ii@gmail.com not exactly sure where I should put this
Assigned to kevin.denny.ii@gmail.com</x18tc:text>
    <x18tc:mentions>
      <x18tc:mention mentionpersonId="{a2a0244d-acc1-4835-a298-707089522525}" mentionId="{61c9e826-2e3d-4b6a-b713-3d39e395ce8f}" startIndex="0" length="25"/>
    </x18tc:mentions>
  </x18tc:threadedComment>
  <x18tc:threadedComment ref="E2" dT="2022-05-13T04:40:29.00" personId="{58ef522c-646a-441f-ad38-882c44ad7937}" id="{503c7fbf-2f85-4530-9a0b-42a6f661305e}" parentId="{2b79787b-d15a-404f-a55e-a2b15317052e}">
    <x18tc:text xml:space="preserve">@jsross526@gmail.com add it to the rest of the expenses and what it will cost monthly
Reassigned to jsross526@gmail.com</x18tc:text>
    <x18tc:mentions>
      <x18tc:mention mentionpersonId="{33d74fd4-b490-414b-b3ab-0e991e675204}" mentionId="{60e0a2e6-2ed2-4a59-99b9-923c8184def9}" startIndex="0" length="20"/>
    </x18tc:mentions>
  </x18tc:threadedComment>
  <x18tc:threadedComment ref="E2" dT="2022-06-22T17:04:36.00" personId="{58ef522c-646a-441f-ad38-882c44ad7937}" id="{f178fc7a-3b71-4f60-87a0-50adf945ac05}" parentId="{2b79787b-d15a-404f-a55e-a2b15317052e}">
    <x18tc:text xml:space="preserve">can you update this please so we can capture our current monthly expenses? @jsross526@gmail.com</x18tc:text>
    <x18tc:mentions>
      <x18tc:mention mentionpersonId="{33d74fd4-b490-414b-b3ab-0e991e675204}" mentionId="{a27b9df9-bac2-494e-9e6c-6821e843addf}" startIndex="75" length="20"/>
    </x18tc:mentions>
  </x18tc:threadedComment>
  <x18tc:threadedComment ref="E2" dT="2022-07-04T14:34:29.00" personId="{4b7736df-c089-4399-8ba5-de0e68c6f896}" id="{e5c62df8-a433-4b1f-8f9f-ee13ef92405c}" parentId="{2b79787b-d15a-404f-a55e-a2b15317052e}">
    <x18tc:text xml:space="preserve">I only have on payment left on July 15th so I'll just leave this here</x18tc:text>
  </x18tc:threadedComment>
  <x18tc:threadedComment ref="E2" dT="2022-07-04T23:52:03.00" personId="{58ef522c-646a-441f-ad38-882c44ad7937}" id="{60a0fe11-d316-468c-9ce5-e419fbdc9b7e}" parentId="{2b79787b-d15a-404f-a55e-a2b15317052e}">
    <x18tc:text xml:space="preserve">ok</x18tc:text>
  </x18tc:threadedComment>
  <x18tc:threadedComment ref="A4" dT="2018-12-02T03:41:55.00" personId="{58ef522c-646a-441f-ad38-882c44ad7937}" id="{297f231f-3c77-44e3-b25e-3cb8627c87eb}" done="1">
    <x18tc:text xml:space="preserve">@jsross526@gmail.com please update this with any expenses you have monthy (hair, etc.) and any amounts based on what you spend on the average that you feel need to be updated that may already be on here.
Assigned to jsross526@gmail.com</x18tc:text>
    <x18tc:mentions>
      <x18tc:mention mentionpersonId="{33d74fd4-b490-414b-b3ab-0e991e675204}" mentionId="{038b1d13-794b-4d7e-8f54-8ff56b995445}" startIndex="0" length="20"/>
    </x18tc:mentions>
  </x18tc:threadedComment>
  <x18tc:threadedComment ref="A24" dT="2022-07-04T14:39:07.00" personId="{4b7736df-c089-4399-8ba5-de0e68c6f896}" id="{c931964e-589d-4dca-9770-8321e72ebcdf}" done="1">
    <x18tc:text xml:space="preserve">@kevin.denny.ii@gmail.com; I'm start putting this amount aside 8/1/2022; Student loans go back in effect 9/1
Assigned to kevin.denny.ii@gmail.com</x18tc:text>
    <x18tc:mentions>
      <x18tc:mention mentionpersonId="{a2a0244d-acc1-4835-a298-707089522525}" mentionId="{4aa2d38b-c9f2-4dce-80f4-82029aa9fdce}" startIndex="0" length="25"/>
    </x18tc:mentions>
  </x18tc:threadedComment>
  <x18tc:threadedComment ref="A24" dT="2022-08-09T04:46:07.00" personId="{58ef522c-646a-441f-ad38-882c44ad7937}" id="{e8317a1c-1698-4a35-b252-c6a6a04fdff8}" parentId="{c931964e-589d-4dca-9770-8321e72ebcdf}">
    <x18tc:text xml:space="preserve">@jsross526@gmail.com Ok, that's a good idea
putting this aside where, though?  how much do you already have saved for this?
Reassigned to jsross526@gmail.com</x18tc:text>
    <x18tc:mentions>
      <x18tc:mention mentionpersonId="{33d74fd4-b490-414b-b3ab-0e991e675204}" mentionId="{ba7516cf-aa95-462f-8180-ca0eb4c442e4}" startIndex="0" length="20"/>
    </x18tc:mentions>
  </x18tc:threadedComment>
  <x18tc:threadedComment ref="A24" dT="2022-08-09T12:28:37.00" personId="{4b7736df-c089-4399-8ba5-de0e68c6f896}" id="{d3552d17-e376-49c8-8e42-781da345ccec}" parentId="{c931964e-589d-4dca-9770-8321e72ebcdf}">
    <x18tc:text xml:space="preserve">It has the date in the comment when I would start</x18tc:text>
  </x18tc:threadedComment>
  <x18tc:threadedComment ref="A24" dT="2022-08-09T13:26:23.00" personId="{58ef522c-646a-441f-ad38-882c44ad7937}" id="{3875619e-0406-4470-be50-09d7516c3a92}" parentId="{c931964e-589d-4dca-9770-8321e72ebcdf}">
    <x18tc:text xml:space="preserve">This is not an expense yet.
That is why I asked where did we put it aside because it is Monthly Savings.
I asked how much because there is possibility you put this in account where you already using money so the real amount is not saved.
All the money, including the money I give myself I share where it is going.</x18tc:text>
  </x18tc:threadedComment>
  <x18tc:threadedComment ref="A24" dT="2022-08-09T13:57:42.00" personId="{4b7736df-c089-4399-8ba5-de0e68c6f896}" id="{211d7298-ed24-4558-96e1-314bca706b4f}" parentId="{c931964e-589d-4dca-9770-8321e72ebcdf}">
    <x18tc:text xml:space="preserve">How can you come to those conclusions?? The comment literally says starting 8/1..so why would there be money anywhere else?? Which I actually forgot on 8/1 so on Friday I will have this amount to pay for student loan due 9/1</x18tc:text>
    <x18tc:extLst>
      <ext uri="{F7C98A9C-CBB3-438F-8F68-D28B6AF4A901}">
        <xltc2:checksum/>
        <xltc2:hyperlink startIndex="78" length="5" url="http://1..so"/>
      </ext>
    </x18tc:extLst>
  </x18tc:threadedComment>
  <x18tc:threadedComment ref="A24" dT="2022-08-09T15:10:12.00" personId="{58ef522c-646a-441f-ad38-882c44ad7937}" id="{7c69cdc6-b3c2-4401-9850-ca33e8f4001b}" parentId="{c931964e-589d-4dca-9770-8321e72ebcdf}">
    <x18tc:text xml:space="preserve">im confused here.  What conclusion?...
what I concluded is that this is not an expense yet, is that what you are talking about?  
I was making a note and asking where is this money being saved.</x18tc:text>
  </x18tc:threadedComment>
  <x18tc:threadedComment ref="A4" dT="2022-07-04T14:35:56.00" personId="{4b7736df-c089-4399-8ba5-de0e68c6f896}" id="{1f003cff-531e-42ae-a2f6-e30a8538d6a8}" done="1">
    <x18tc:text xml:space="preserve">@kevin.denny.ii@gmail.com do you see the actual amount of the electric bill. I know the most recent was $200 plus dollars.
Assigned to kevin.denny.ii@gmail.com</x18tc:text>
    <x18tc:mentions>
      <x18tc:mention mentionpersonId="{a2a0244d-acc1-4835-a298-707089522525}" mentionId="{fc801e39-2e52-4f69-905c-9ffcef3ed139}" startIndex="0" length="25"/>
    </x18tc:mentions>
  </x18tc:threadedComment>
  <x18tc:threadedComment ref="D4" dT="2022-08-31T19:08:29.00" personId="{4b7736df-c089-4399-8ba5-de0e68c6f896}" id="{33e7a2ee-407e-4827-9dfa-2b2c66732237}" done="1">
    <x18tc:text xml:space="preserve">@kevin.denny.ii@gmail.com -cancelled auto pay. Payment arrangement to pay half bill by 1st and remaining balance by 15th September
Assigned to kevin.denny.ii@gmail.com</x18tc:text>
    <x18tc:mentions>
      <x18tc:mention mentionpersonId="{a2a0244d-acc1-4835-a298-707089522525}" mentionId="{00066b52-b73d-4e80-bd15-0f76d5268265}" startIndex="0" length="25"/>
    </x18tc:mentions>
  </x18tc:threadedComment>
  <x18tc:threadedComment ref="D4" dT="2022-08-31T19:36:56.00" personId="{58ef522c-646a-441f-ad38-882c44ad7937}" id="{c0b7337d-cbbb-41cd-a259-01807b8923df}" parentId="{33e7a2ee-407e-4827-9dfa-2b2c66732237}">
    <x18tc:text xml:space="preserve">Ok, great.</x18tc:text>
  </x18tc:threadedComment>
  <x18tc:threadedComment ref="D56" dT="2021-10-10T21:19:59.00" personId="{4b7736df-c089-4399-8ba5-de0e68c6f896}" id="{94da9af2-58c3-437d-bf44-fc941e17f6fb}" done="1">
    <x18tc:text xml:space="preserve">@kodennyii@hotmail.com
Assigned to kodennyii@hotmail.com</x18tc:text>
    <x18tc:mentions>
      <x18tc:mention mentionpersonId="{4179a251-e23f-4d68-9d4f-f607b619cc5a}" mentionId="{c1b5e77d-1236-4edc-8031-71c7ef128e94}" startIndex="0" length="22"/>
    </x18tc:mentions>
  </x18tc:threadedComment>
  <x18tc:threadedComment ref="D56" dT="2021-10-11T15:48:46.00" personId="{58ef522c-646a-441f-ad38-882c44ad7937}" id="{166c82e8-c7c6-4569-88c3-d265ce4fe88e}" parentId="{94da9af2-58c3-437d-bf44-fc941e17f6fb}">
    <x18tc:text xml:space="preserve">Thanks for making this note.  I will create a medical bill excel sheet.  Because this is coming out of the HSA it doesn't affect our estimated expenses but it is something to note and be aware of as well as the the other medical bill that we were paying the monthly $325 and if thats already done, we should definitely start paying our selves back on the HSA.  Please fill out the portions of it when you can.</x18tc:text>
  </x18tc:threadedComment>
  <x18tc:threadedComment ref="A28" dT="2022-10-10T16:28:04.00" personId="{58ef522c-646a-441f-ad38-882c44ad7937}" id="{713afbc3-0f24-4d70-98f7-dfe10cbf90ff}" done="1">
    <x18tc:text xml:space="preserve">@jsross526@gmail.com we have not held ourselves accountable to this because in almost one weekend we spent close to $200 and we are definitely eating out at least once a day almost.  We have to figure our someway of holding ourselves accountable when we are talking about cash flows and amounts we do not want to go over for certain categories.  I think we both mentioned using https://www.youneedabudget.com/ and I think this would be great for us to use come next month.  Their app is also great too
Assigned to jsross526@gmail.com</x18tc:text>
    <x18tc:mentions>
      <x18tc:mention mentionpersonId="{33d74fd4-b490-414b-b3ab-0e991e675204}" mentionId="{c0600591-d701-4bef-a742-0eab73c35987}" startIndex="0" length="20"/>
    </x18tc:mentions>
    <x18tc:extLst>
      <ext uri="{F7C98A9C-CBB3-438F-8F68-D28B6AF4A901}">
        <xltc2:checksum/>
        <xltc2:hyperlink startIndex="378" length="31" url="https://www.youneedabudget.com/"/>
      </ext>
    </x18tc:extLst>
  </x18tc:threadedComment>
  <x18tc:threadedComment ref="A28" dT="2022-11-01T18:10:46.00" personId="{58ef522c-646a-441f-ad38-882c44ad7937}" id="{6dffe7d0-77df-4c58-a446-695f5b88371c}" parentId="{713afbc3-0f24-4d70-98f7-dfe10cbf90ff}">
    <x18tc:text xml:space="preserve">We did not adhere this at all and have not been adhering to holding ourelves accountable for how much we spend on eating out so I dont know what to really do here expect move it back as this is only capturing how much we spend and not dictating what we said we would spend</x18tc:text>
  </x18tc:threadedComment>
  <x18tc:threadedComment ref="A4" dT="2017-11-05T06:29:10.00" personId="{58ef522c-646a-441f-ad38-882c44ad7937}" id="{b6f3fc85-56bb-46aa-b158-3cb0497c7305}" done="1">
    <x18tc:text xml:space="preserve">@jsross526@gmail.com I updated expense on here you can add on here very easily but going to "Insert" then "Row Below" and it will automatically do the calculation for you :-)
Assigned to jsross526@gmail.com</x18tc:text>
    <x18tc:mentions>
      <x18tc:mention mentionpersonId="{33d74fd4-b490-414b-b3ab-0e991e675204}" mentionId="{4819091c-73eb-466d-91f1-147fffb1c3b0}" startIndex="0" length="20"/>
    </x18tc:mentions>
  </x18tc:threadedComment>
  <x18tc:threadedComment ref="C41" dT="2019-12-30T22:05:26.00" personId="{58ef522c-646a-441f-ad38-882c44ad7937}" id="{bd450cff-e289-4678-8cf0-f9bb9208304c}" done="1">
    <x18tc:text xml:space="preserve">This sheet is NOT a budget .it is tracking expenses that we pay for monthly and totaling that amount.  Also, this is not something we spend on monthly or have spend out of pocket enough times (no more than twice) to have it considered a monthly expense.  What we can do is have a savings account (non emergency) and pull money from that if we need to use it when HSA funds are unavailable  or pull from an "emergency fund" and simply replenish it. @jsross526@gmail.com
Assigned to jsross526@gmail.com</x18tc:text>
    <x18tc:mentions>
      <x18tc:mention mentionpersonId="{33d74fd4-b490-414b-b3ab-0e991e675204}" mentionId="{b4ae4ecf-b38f-4bcf-9f1f-9c497030366b}" startIndex="448" length="20"/>
    </x18tc:mentions>
  </x18tc:threadedComment>
  <x18tc:threadedComment ref="C41" dT="2019-12-30T22:12:01.00" personId="{4b7736df-c089-4399-8ba5-de0e68c6f896}" id="{173c46d8-127a-4a7a-80ad-fb181f57fda9}" parentId="{bd450cff-e289-4678-8cf0-f9bb9208304c}">
    <x18tc:text xml:space="preserve">Ok</x18tc:text>
  </x18tc:threadedComment>
  <x18tc:threadedComment ref="A27" dT="2019-03-30T04:17:25.00" personId="{58ef522c-646a-441f-ad38-882c44ad7937}" id="{d886e614-1d2d-4da2-a33c-1934d89cfdf7}" done="1">
    <x18tc:text xml:space="preserve">@jsross526@gmail.com this month we spent over an estimated $620 in dining/restaraunts....  This does not include anything spent for groceries at HEB or Walmart.  This most likely means our credit debt reduction this month will be small excluding the payments we made from our Savings Account and Roth IRA contribution
Assigned to jsross526@gmail.com</x18tc:text>
    <x18tc:mentions>
      <x18tc:mention mentionpersonId="{33d74fd4-b490-414b-b3ab-0e991e675204}" mentionId="{f7f8c003-5d3f-4c7c-a998-c85cdbc18b41}" startIndex="0" length="20"/>
    </x18tc:mentions>
  </x18tc:threadedComment>
  <x18tc:threadedComment ref="A4" dT="2016-04-25T00:55:33.00" personId="{58ef522c-646a-441f-ad38-882c44ad7937}" id="{cc51b26c-7a56-4da8-84b7-ebafe1285961}" done="1">
    <x18tc:text xml:space="preserve">@jsross526@gmail.com Can you fill this out when you are able, please?  Thanks.</x18tc:text>
    <x18tc:mentions>
      <x18tc:mention mentionpersonId="{33d74fd4-b490-414b-b3ab-0e991e675204}" mentionId="{407fcd3c-6e56-407e-96d3-62b874bb08aa}" startIndex="0" length="20"/>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6" dT="2022-06-22T16:59:32.00" personId="{58ef522c-646a-441f-ad38-882c44ad7937}" id="{b348858b-fc72-4d68-b29c-8aef0e8f3060}" done="1">
    <x18tc:text xml:space="preserve">@jsross526@gmail.com just FYI, this column is automatically updated without you having to touch it.  Anytime the Current balances are update, the respective column is updated, respectively.
Assigned to jsross526@gmail.com</x18tc:text>
    <x18tc:mentions>
      <x18tc:mention mentionpersonId="{33d74fd4-b490-414b-b3ab-0e991e675204}" mentionId="{08b8d41f-ce34-4e15-a5fd-cac2e9b0d273}" startIndex="0" length="20"/>
    </x18tc:mentions>
  </x18tc:threadedComment>
  <x18tc:threadedComment ref="B16" dT="2022-05-17T19:08:04.00" personId="{58ef522c-646a-441f-ad38-882c44ad7937}" id="{7c1098c7-75ca-463d-8205-652497d7f772}" done="1">
    <x18tc:text xml:space="preserve">@jsross526@gmail.com can update this with the NFCU credit card balance?
Assigned to jsross526@gmail.com</x18tc:text>
    <x18tc:mentions>
      <x18tc:mention mentionpersonId="{33d74fd4-b490-414b-b3ab-0e991e675204}" mentionId="{b83806d0-7283-417e-a2f6-2c9ca19814b7}" startIndex="0" length="20"/>
    </x18tc:mentions>
  </x18tc:threadedComment>
  <x18tc:threadedComment ref="B16" dT="2022-06-21T15:57:23.00" personId="{58ef522c-646a-441f-ad38-882c44ad7937}" id="{049525b0-36b2-448b-adab-7cae1acec0de}" parentId="{7c1098c7-75ca-463d-8205-652497d7f772}">
    <x18tc:text xml:space="preserve">@jsross526@gmail.com can you please update this amount</x18tc:text>
    <x18tc:mentions>
      <x18tc:mention mentionpersonId="{33d74fd4-b490-414b-b3ab-0e991e675204}" mentionId="{f44fee7b-308b-474d-8440-116125d5e320}" startIndex="0" length="20"/>
    </x18tc:mentions>
  </x18tc:threadedComment>
  <x18tc:threadedComment ref="A3" dT="2022-06-22T15:22:27.00" personId="{4b7736df-c089-4399-8ba5-de0e68c6f896}" id="{f033bc4c-f4f5-4195-9ed2-943fbf80f730}" done="1">
    <x18tc:text xml:space="preserve">@kevin.denny.ii@gmail.com , I thought we used majority of the Tax refund to pay this card off?
Assigned to kevin.denny.ii@gmail.com</x18tc:text>
    <x18tc:mentions>
      <x18tc:mention mentionpersonId="{a2a0244d-acc1-4835-a298-707089522525}" mentionId="{36a36dfa-6955-4c78-bee9-6005c04facf0}" startIndex="0" length="25"/>
    </x18tc:mentions>
  </x18tc:threadedComment>
  <x18tc:threadedComment ref="A3" dT="2022-06-22T16:56:46.00" personId="{58ef522c-646a-441f-ad38-882c44ad7937}" id="{cbf347fb-3f04-43ce-a9e4-6f4b63185cbf}" parentId="{f033bc4c-f4f5-4195-9ed2-943fbf80f730}">
    <x18tc:text xml:space="preserve">@jsross526@gmail.com Correct. but notice how the VISA on NFCU has been cut in half. Lower APR rate on the Barclays. It also lowers the credit ratio.
Reassigned to jsross526@gmail.com</x18tc:text>
    <x18tc:mentions>
      <x18tc:mention mentionpersonId="{33d74fd4-b490-414b-b3ab-0e991e675204}" mentionId="{4663f06c-35d4-4952-89ac-4e82997455db}" startIndex="0" length="20"/>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1-04-21T04:08:06.00" personId="{58ef522c-646a-441f-ad38-882c44ad7937}" id="{ad0c37cb-4774-4d47-87ef-dd14a733d4c2}" done="1">
    <x18tc:text xml:space="preserve">@jsross526@gmail.com will you be making a payment on the Amex anytime soon? Is this something you have changed your mind on?</x18tc:text>
    <x18tc:mentions>
      <x18tc:mention mentionpersonId="{33d74fd4-b490-414b-b3ab-0e991e675204}" mentionId="{2647850b-d04f-4730-8995-4e9b44c65d9a}" startIndex="0" length="20"/>
    </x18tc:mentions>
  </x18tc:threadedComment>
  <x18tc:threadedComment ref="A4" dT="2021-04-21T11:21:06.00" personId="{4b7736df-c089-4399-8ba5-de0e68c6f896}" id="{597c44ce-7025-4b43-a916-cba09b004ab5}" parentId="{ad0c37cb-4774-4d47-87ef-dd14a733d4c2}">
    <x18tc:text xml:space="preserve">No I haven't but I haven't had any extra money. Seems when after I get paid our other accounts are low both shared checking and savings that I actually need to use the money</x18tc:text>
  </x18tc:threadedComment>
  <x18tc:threadedComment ref="A4" dT="2021-04-21T14:19:03.00" personId="{58ef522c-646a-441f-ad38-882c44ad7937}" id="{9746878d-8967-438b-8326-ffb26ff24479}" parentId="{ad0c37cb-4774-4d47-87ef-dd14a733d4c2}">
    <x18tc:text xml:space="preserve">If we are able to buy, for example, almost $100 in crabs in three days, we have the extra cash.  Or if we able to pay cash for a vacation then we have extra cash to make a payment towards debt.  It is the responsible thing to do first so that in the future and hopefully no a very late future we can take whatever vacations and buy as much crabs as we want because we have no obligation to pay someone back money with interest...</x18tc:text>
  </x18tc:threadedComment>
  <x18tc:threadedComment ref="F15" dT="2019-03-10T17:49:23.00" personId="{58ef522c-646a-441f-ad38-882c44ad7937}" id="{e366bf77-16c7-40c3-a539-c3557e894d6f}" done="1">
    <x18tc:text xml:space="preserve">@jsross526@gmail.com @lmolina@freshstartcpa.com our first total credit card balance decrease in over 13 months ago :-)</x18tc:text>
    <x18tc:mentions>
      <x18tc:mention mentionpersonId="{33d74fd4-b490-414b-b3ab-0e991e675204}" mentionId="{98812e3a-b5a7-49aa-9f75-64543ed4cff5}" startIndex="0" length="20"/>
      <x18tc:mention mentionpersonId="{230a6aab-6988-4d30-9ace-a5dbbd058fa5}" mentionId="{e9868782-0308-481d-bcc2-c8821d799421}" startIndex="21" length="26"/>
    </x18tc:mentions>
  </x18tc:threadedComment>
  <x18tc:threadedComment ref="D21" dT="2019-09-12T15:23:11.00" personId="{58ef522c-646a-441f-ad38-882c44ad7937}" id="{a788dba9-a0ea-409e-b657-bbb8152cbae5}" done="1">
    <x18tc:text xml:space="preserve">@jsross526@gmail.com FYI</x18tc:text>
    <x18tc:mentions>
      <x18tc:mention mentionpersonId="{33d74fd4-b490-414b-b3ab-0e991e675204}" mentionId="{7bc5c6bd-43ea-47ff-973d-0a371faa41cc}" startIndex="0" length="20"/>
    </x18tc:mentions>
  </x18tc:threadedComment>
  <x18tc:threadedComment ref="D12" dT="2018-12-02T06:33:39.00" personId="{58ef522c-646a-441f-ad38-882c44ad7937}" id="{7c01c931-c568-4133-8675-2c3a5e11eaaf}" done="1">
    <x18tc:text xml:space="preserve">@jsross526@gmail.com  this is the current amount of Credit Card debt we have.  It has doubled since Februrary of this year</x18tc:text>
    <x18tc:mentions>
      <x18tc:mention mentionpersonId="{33d74fd4-b490-414b-b3ab-0e991e675204}" mentionId="{2ffce03f-fdda-4d8d-8cbe-23532a144a94}" startIndex="0" length="20"/>
    </x18tc:mentions>
  </x18tc:threadedComment>
  <x18tc:threadedComment ref="A5" dT="2022-06-26T03:56:22.00" personId="{58ef522c-646a-441f-ad38-882c44ad7937}" id="{f21b2a4b-fa64-4fa0-aca3-05f8023dc7a0}" done="1">
    <x18tc:text xml:space="preserve">@jsross526@gmail.com Because we have almost an estimated $2000 left after all monthly expenses, i would like to make this payment $450 starting in July.  The estimated debt left on this credit card is $10,500 and i froze the card so it cant be used
Assigned to jsross526@gmail.com</x18tc:text>
    <x18tc:mentions>
      <x18tc:mention mentionpersonId="{33d74fd4-b490-414b-b3ab-0e991e675204}" mentionId="{3297e5e2-4ab0-4ccf-a3dc-481b8490cf0d}" startIndex="0" length="20"/>
    </x18tc:mentions>
  </x18tc:threadedComment>
  <x18tc:threadedComment ref="A5" dT="2022-07-04T14:48:14.00" personId="{4b7736df-c089-4399-8ba5-de0e68c6f896}" id="{0c9929cc-b59f-4a13-8c47-269bacad89c6}" parentId="{f21b2a4b-fa64-4fa0-aca3-05f8023dc7a0}">
    <x18tc:text xml:space="preserve">ok</x18tc:text>
  </x18tc:threadedComment>
  <x18tc:threadedComment ref="A6" dT="2022-06-21T15:59:46.00" personId="{58ef522c-646a-441f-ad38-882c44ad7937}" id="{f57078c3-da52-43b7-b558-03790d31d49a}" done="1">
    <x18tc:text xml:space="preserve">@jsross526@gmail.com is this estimate correct?</x18tc:text>
    <x18tc:mentions>
      <x18tc:mention mentionpersonId="{33d74fd4-b490-414b-b3ab-0e991e675204}" mentionId="{337f1753-5e20-4f32-8965-41ba3c171e05}" startIndex="0" length="20"/>
    </x18tc:mentions>
  </x18tc:threadedComment>
  <x18tc:threadedComment ref="A6" dT="2022-06-22T16:55:17.00" personId="{58ef522c-646a-441f-ad38-882c44ad7937}" id="{196fdd47-2270-4144-80d6-fae03192359a}" parentId="{f57078c3-da52-43b7-b558-03790d31d49a}">
    <x18tc:text xml:space="preserve">@jsross526@gmail.com is this estimate correct?</x18tc:text>
    <x18tc:mentions>
      <x18tc:mention mentionpersonId="{33d74fd4-b490-414b-b3ab-0e991e675204}" mentionId="{30ffcc11-3ded-41d5-9439-9ec7bc7f0489}" startIndex="0" length="20"/>
    </x18tc:mentions>
  </x18tc:threadedComment>
  <x18tc:threadedComment ref="A6" dT="2022-07-04T14:48:05.00" personId="{4b7736df-c089-4399-8ba5-de0e68c6f896}" id="{96794e96-734d-4bf7-b0a7-6327a9eabaca}" parentId="{f57078c3-da52-43b7-b558-03790d31d49a}">
    <x18tc:text xml:space="preserve">Yes; sometimes it is more because if I do use it I try to put back on it what I used</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8" dT="2022-05-13T04:45:39.00" personId="{58ef522c-646a-441f-ad38-882c44ad7937}" id="{1b3db4cd-d27e-4a67-a15c-3e91822d0649}" done="1">
    <x18tc:text xml:space="preserve">@jsross526@gmail.com how was this calculated?
Assigned to jsross526@gmail.com</x18tc:text>
    <x18tc:mentions>
      <x18tc:mention mentionpersonId="{33d74fd4-b490-414b-b3ab-0e991e675204}" mentionId="{97cadf18-1e2b-49c6-9964-17fedb397db9}" startIndex="0" length="20"/>
    </x18tc:mentions>
  </x18tc:threadedComment>
  <x18tc:threadedComment ref="F8" dT="2022-05-18T17:44:47.00" personId="{4b7736df-c089-4399-8ba5-de0e68c6f896}" id="{20abf0a5-56de-4f83-a71b-4982b79344aa}" parentId="{1b3db4cd-d27e-4a67-a15c-3e91822d0649}">
    <x18tc:text xml:space="preserve">Ok so I just calculated the monthly payment amounts. This does not include one time or bills that can be paid off in one/two months</x18tc:text>
  </x18tc:threadedComment>
  <x18tc:threadedComment ref="D9" dT="2022-05-02T22:32:07.00" personId="{4b7736df-c089-4399-8ba5-de0e68c6f896}" id="{24f9a5c5-a978-4ed4-b200-ae5634c06b7a}" done="1">
    <x18tc:text xml:space="preserve">@kevin.denny.ii@gmail.com  please do not use the HSA card anymore this month. All bills have been paid, the remaining balance left on the card is for amounts that are on auto draft.
Assigned to kevin.denny.ii@gmail.com</x18tc:text>
    <x18tc:mentions>
      <x18tc:mention mentionpersonId="{a2a0244d-acc1-4835-a298-707089522525}" mentionId="{f9985869-f9f8-44e8-aa46-5205b88c6519}" startIndex="0" length="25"/>
    </x18tc:mentions>
  </x18tc:threadedComment>
  <x18tc:threadedComment ref="D9" dT="2022-04-21T18:05:23.00" personId="{4b7736df-c089-4399-8ba5-de0e68c6f896}" id="{83b985ea-5149-4b67-8189-334d206590b7}" done="1">
    <x18tc:text xml:space="preserve">@kevin.denny.ii@gmail.com  this is probably most accurate amount due May.
Assigned to kevin.denny.ii@gmail.com</x18tc:text>
    <x18tc:mentions>
      <x18tc:mention mentionpersonId="{a2a0244d-acc1-4835-a298-707089522525}" mentionId="{9cae0db5-0309-4f15-8676-9f66ad0dccc3}" startIndex="0" length="25"/>
    </x18tc:mentions>
  </x18tc:threadedComment>
  <x18tc:threadedComment ref="D9" dT="2022-04-21T18:57:28.00" personId="{58ef522c-646a-441f-ad38-882c44ad7937}" id="{b038d1de-0712-449d-85c4-63ef775d9005}" parentId="{83b985ea-5149-4b67-8189-334d206590b7}">
    <x18tc:text xml:space="preserve">@jsross526@gmail.com the other amounts added dont have monthly payment options?
The bill that came from Christus was easy to setup because all I had to do was go to the website stated on the bill.
and I still dont see where are the items totaling that amount?
Reassigned to jsross526@gmail.com</x18tc:text>
    <x18tc:mentions>
      <x18tc:mention mentionpersonId="{33d74fd4-b490-414b-b3ab-0e991e675204}" mentionId="{a0eb51ff-67ff-4a77-9fba-53d779cf7384}" startIndex="0" length="20"/>
    </x18tc:mentions>
  </x18tc:threadedComment>
  <x18tc:threadedComment ref="D9" dT="2022-04-21T18:59:50.00" personId="{58ef522c-646a-441f-ad38-882c44ad7937}" id="{7f475938-f45d-446b-827b-45c565f4d25a}" parentId="{83b985ea-5149-4b67-8189-334d206590b7}">
    <x18tc:text xml:space="preserve">ok now that I have moved this over, I see the total.
Does ABCD take partial payments and such and what about M&amp;R Radiology, too?</x18tc:text>
  </x18tc:threadedComment>
  <x18tc:threadedComment ref="D9" dT="2022-04-21T19:15:14.00" personId="{4b7736df-c089-4399-8ba5-de0e68c6f896}" id="{92049914-9290-4465-998d-a06739c02a55}" parentId="{83b985ea-5149-4b67-8189-334d206590b7}">
    <x18tc:text xml:space="preserve">ABCD requires full payment. It was actually due on Tuesday but they are letting me put it off until May. M&amp;R allows payment but the full balance had to be paid by 90 days so that's why have to pay remaining balance in May</x18tc:text>
  </x18tc:threadedComment>
  <x18tc:threadedComment ref="D9" dT="2022-04-21T20:50:48.00" personId="{58ef522c-646a-441f-ad38-882c44ad7937}" id="{c674d7f2-7f98-4bbd-a2d7-de7e33544163}" parentId="{83b985ea-5149-4b67-8189-334d206590b7}">
    <x18tc:text xml:space="preserve">@jsross526@gmail.com Ok, we can make this work. This wont be as bad as it seems, that is for sure :-). I am so glad we have no interests on payments and we simply have to pay things off and some upfront. gracias...besos</x18tc:text>
    <x18tc:mentions>
      <x18tc:mention mentionpersonId="{33d74fd4-b490-414b-b3ab-0e991e675204}" mentionId="{0e245ee8-9da6-4072-a4df-fe17a8b305a9}" startIndex="0" length="20"/>
    </x18tc:mentions>
  </x18tc:threadedComment>
  <x18tc:threadedComment ref="D9" dT="2022-04-21T20:52:37.00" personId="{58ef522c-646a-441f-ad38-882c44ad7937}" id="{6d28728c-4df1-4212-b889-cca4c369a98e}" parentId="{83b985ea-5149-4b67-8189-334d206590b7}">
    <x18tc:text xml:space="preserve">All the sums are being calculated in column H</x18tc:text>
  </x18tc:threadedComment>
  <x18tc:threadedComment ref="F11" dT="2022-05-18T17:46:09.00" personId="{4b7736df-c089-4399-8ba5-de0e68c6f896}" id="{a9048e7e-a424-40ab-96f9-77ba42e9cefd}" done="1">
    <x18tc:text xml:space="preserve">@kevin.denny.ii@gmail.com
Assigned to kevin.denny.ii@gmail.com</x18tc:text>
    <x18tc:mentions>
      <x18tc:mention mentionpersonId="{a2a0244d-acc1-4835-a298-707089522525}" mentionId="{6b70943b-a355-4aff-89a3-b8032bc4b04e}" startIndex="0" length="25"/>
    </x18tc:mentions>
  </x18tc:threadedComment>
  <x18tc:threadedComment ref="F11" dT="2022-05-18T19:44:56.00" personId="{58ef522c-646a-441f-ad38-882c44ad7937}" id="{f9434e88-26a9-4e88-beda-9648056fda45}" parentId="{a9048e7e-a424-40ab-96f9-77ba42e9cefd}">
    <x18tc:text xml:space="preserve">I am very confused by these June totals... @jsross526@gmail.com 
I dont know anything about them.
Reassigned to jsross526@gmail.com</x18tc:text>
    <x18tc:mentions>
      <x18tc:mention mentionpersonId="{33d74fd4-b490-414b-b3ab-0e991e675204}" mentionId="{279ac318-cf1c-4c08-920a-0178813589a2}" startIndex="43" length="20"/>
    </x18tc:mentions>
  </x18tc:threadedComment>
  <x18tc:threadedComment ref="F8" dT="2022-04-21T14:55:44.00" personId="{58ef522c-646a-441f-ad38-882c44ad7937}" id="{78d63056-6810-4fd4-8455-e9e2129ff14a}" done="1">
    <x18tc:text xml:space="preserve">@jsross526@gmail.com can you double check this please? The excel calculated a high amount which I updated based on your notes
Assigned to jsross526@gmail.com</x18tc:text>
    <x18tc:mentions>
      <x18tc:mention mentionpersonId="{33d74fd4-b490-414b-b3ab-0e991e675204}" mentionId="{3cda7062-d6cb-464a-8b2e-ac482789cd59}" startIndex="0" length="20"/>
    </x18tc:mentions>
  </x18tc:threadedComment>
  <x18tc:threadedComment ref="F8" dT="2022-04-21T15:14:54.00" personId="{4b7736df-c089-4399-8ba5-de0e68c6f896}" id="{6eb297c0-d1b1-471a-b377-81a621a6f7a3}" parentId="{78d63056-6810-4fd4-8455-e9e2129ff14a}">
    <x18tc:text xml:space="preserve">Ok; checking now</x18tc:text>
  </x18tc:threadedComment>
  <x18tc:threadedComment ref="F8" dT="2022-04-21T15:20:51.00" personId="{58ef522c-646a-441f-ad38-882c44ad7937}" id="{c3ba9831-ce03-4672-b79c-9da7462e182f}" parentId="{78d63056-6810-4fd4-8455-e9e2129ff14a}">
    <x18tc:text xml:space="preserve">@jsross526@gmail.com Can you please show how these total are calculated?  The first total didn't seem right according to what you noted so I am just wondering how did we come up with this new total and is that calculation correct also</x18tc:text>
    <x18tc:mentions>
      <x18tc:mention mentionpersonId="{33d74fd4-b490-414b-b3ab-0e991e675204}" mentionId="{77e52304-f28f-4d20-8956-59f45a9a3309}" startIndex="0" length="20"/>
    </x18tc:mentions>
  </x18tc:threadedComment>
  <x18tc:threadedComment ref="F8" dT="2022-04-21T18:02:21.00" personId="{4b7736df-c089-4399-8ba5-de0e68c6f896}" id="{a99bcb70-17c2-4a82-b0fe-a36a173afaab}" parentId="{78d63056-6810-4fd4-8455-e9e2129ff14a}">
    <x18tc:text xml:space="preserve">I just added up all the min. amount all for all the items we have listed. Please note I did have to add two (Dual Arc and Peds bill for Emma which exceeds the $600 we have available. That amount doesn't include the amount to pay for her ER visit</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2-05-19T03:45:29.00" personId="{58ef522c-646a-441f-ad38-882c44ad7937}" id="{5a4bc49a-9b10-478e-919b-4c9c26515251}" done="1">
    <x18tc:text xml:space="preserve">@jsross526@gmail.com check the box once something has been paid back and the "total payout remaining" will be updated
Assigned to jsross526@gmail.com</x18tc:text>
    <x18tc:mentions>
      <x18tc:mention mentionpersonId="{33d74fd4-b490-414b-b3ab-0e991e675204}" mentionId="{6bab461e-61cf-471d-a041-32678331682f}" startIndex="0" length="20"/>
    </x18tc:mentions>
  </x18tc:threadedComment>
  <x18tc:threadedComment ref="D1" dT="2022-10-03T16:17:52.00" personId="{58ef522c-646a-441f-ad38-882c44ad7937}" id="{6544177e-0b4f-4c8e-b5fc-80f3bb3798ea}" parentId="{5a4bc49a-9b10-478e-919b-4c9c26515251}">
    <x18tc:text xml:space="preserve">@jsross526@gmail.com If you have an account of all the medical bills you paid for put them here if you can.  Little by little we can use the HSA to pay our selves back as we pay down all our current medical bills</x18tc:text>
    <x18tc:mentions>
      <x18tc:mention mentionpersonId="{33d74fd4-b490-414b-b3ab-0e991e675204}" mentionId="{e22b746e-9887-4933-b402-9594f980247a}" startIndex="0" length="2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19-05-18T18:46:41.00" personId="{58ef522c-646a-441f-ad38-882c44ad7937}" id="{7ae2eb04-0dec-49a2-a3db-1285d357493c}" done="1">
    <x18tc:text xml:space="preserve">Estimated Current Networth @jsross526@gmail.com</x18tc:text>
    <x18tc:mentions>
      <x18tc:mention mentionpersonId="{33d74fd4-b490-414b-b3ab-0e991e675204}" mentionId="{fe359e0c-e329-489c-848c-27034801202e}" startIndex="27" length="2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privacy.com/" TargetMode="External"/><Relationship Id="rId5" Type="http://schemas.openxmlformats.org/officeDocument/2006/relationships/hyperlink" Target="http://www.nfggive.org/" TargetMode="External"/><Relationship Id="rId6" Type="http://schemas.openxmlformats.org/officeDocument/2006/relationships/drawing" Target="../drawings/drawing3.xml"/><Relationship Id="rId7"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 Id="rId7"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www.christusepay.com/" TargetMode="External"/><Relationship Id="rId5" Type="http://schemas.openxmlformats.org/officeDocument/2006/relationships/drawing" Target="../drawings/drawing7.xml"/><Relationship Id="rId6"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8.xml"/><Relationship Id="rId5"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32.5"/>
    <col customWidth="1" min="2" max="2" width="29.13"/>
    <col customWidth="1" min="3" max="3" width="31.0"/>
    <col customWidth="1" min="4" max="4" width="18.38"/>
  </cols>
  <sheetData>
    <row r="1">
      <c r="A1" s="1" t="s">
        <v>0</v>
      </c>
      <c r="C1" s="2" t="s">
        <v>1</v>
      </c>
      <c r="D1" s="3"/>
    </row>
    <row r="2">
      <c r="A2" s="4">
        <v>7550.0</v>
      </c>
      <c r="B2" s="5" t="s">
        <v>2</v>
      </c>
      <c r="C2" s="6" t="s">
        <v>3</v>
      </c>
      <c r="D2" s="3"/>
    </row>
    <row r="3">
      <c r="A3" s="4">
        <v>300.0</v>
      </c>
      <c r="B3" s="5" t="s">
        <v>4</v>
      </c>
      <c r="C3" s="6" t="s">
        <v>5</v>
      </c>
      <c r="D3" s="3"/>
    </row>
    <row r="4">
      <c r="A4" s="7">
        <v>4179.0</v>
      </c>
      <c r="B4" s="5" t="s">
        <v>6</v>
      </c>
      <c r="C4" s="8" t="s">
        <v>7</v>
      </c>
      <c r="D4" s="9"/>
    </row>
    <row r="5">
      <c r="A5" s="10">
        <f>SUM(A2:A4)</f>
        <v>12029</v>
      </c>
      <c r="B5" s="11" t="s">
        <v>8</v>
      </c>
      <c r="C5" s="6"/>
      <c r="D5" s="3"/>
    </row>
    <row r="6">
      <c r="A6" s="12"/>
      <c r="C6" s="12"/>
      <c r="D6" s="3"/>
    </row>
    <row r="7">
      <c r="A7" s="13" t="s">
        <v>9</v>
      </c>
      <c r="B7" s="14"/>
      <c r="C7" s="12"/>
      <c r="D7" s="3"/>
    </row>
    <row r="8">
      <c r="A8" s="4">
        <v>300.0</v>
      </c>
      <c r="B8" s="5" t="s">
        <v>10</v>
      </c>
      <c r="C8" s="6"/>
      <c r="D8" s="3"/>
    </row>
    <row r="9">
      <c r="A9" s="15">
        <v>200.0</v>
      </c>
      <c r="B9" s="16" t="s">
        <v>11</v>
      </c>
      <c r="C9" s="17" t="s">
        <v>12</v>
      </c>
      <c r="D9" s="18"/>
      <c r="E9" s="18"/>
      <c r="F9" s="18"/>
      <c r="G9" s="18"/>
      <c r="H9" s="18"/>
      <c r="I9" s="18"/>
      <c r="J9" s="18"/>
      <c r="K9" s="18"/>
      <c r="L9" s="18"/>
      <c r="M9" s="18"/>
      <c r="N9" s="18"/>
      <c r="O9" s="18"/>
      <c r="P9" s="18"/>
      <c r="Q9" s="18"/>
      <c r="R9" s="18"/>
      <c r="S9" s="18"/>
      <c r="T9" s="18"/>
      <c r="U9" s="18"/>
      <c r="V9" s="18"/>
      <c r="W9" s="18"/>
      <c r="X9" s="18"/>
      <c r="Y9" s="18"/>
      <c r="Z9" s="18"/>
    </row>
    <row r="10">
      <c r="A10" s="15">
        <v>75.0</v>
      </c>
      <c r="B10" s="16" t="s">
        <v>13</v>
      </c>
      <c r="C10" s="17" t="s">
        <v>14</v>
      </c>
      <c r="D10" s="18"/>
      <c r="E10" s="18"/>
      <c r="F10" s="18"/>
      <c r="G10" s="18"/>
      <c r="H10" s="18"/>
      <c r="I10" s="18"/>
      <c r="J10" s="18"/>
      <c r="K10" s="18"/>
      <c r="L10" s="18"/>
      <c r="M10" s="18"/>
      <c r="N10" s="18"/>
      <c r="O10" s="18"/>
      <c r="P10" s="18"/>
      <c r="Q10" s="18"/>
      <c r="R10" s="18"/>
      <c r="S10" s="18"/>
      <c r="T10" s="18"/>
      <c r="U10" s="18"/>
      <c r="V10" s="18"/>
      <c r="W10" s="18"/>
      <c r="X10" s="18"/>
      <c r="Y10" s="18"/>
      <c r="Z10" s="18"/>
    </row>
    <row r="11">
      <c r="A11" s="15">
        <v>0.0</v>
      </c>
      <c r="B11" s="16" t="s">
        <v>15</v>
      </c>
      <c r="D11" s="18"/>
      <c r="E11" s="18"/>
      <c r="F11" s="18"/>
      <c r="G11" s="18"/>
      <c r="H11" s="18"/>
      <c r="I11" s="18"/>
      <c r="J11" s="18"/>
      <c r="K11" s="18"/>
      <c r="L11" s="18"/>
      <c r="M11" s="18"/>
      <c r="N11" s="18"/>
      <c r="O11" s="18"/>
      <c r="P11" s="18"/>
      <c r="Q11" s="18"/>
      <c r="R11" s="18"/>
      <c r="S11" s="18"/>
      <c r="T11" s="18"/>
      <c r="U11" s="18"/>
      <c r="V11" s="18"/>
      <c r="W11" s="18"/>
      <c r="X11" s="18"/>
      <c r="Y11" s="18"/>
      <c r="Z11" s="18"/>
    </row>
    <row r="12">
      <c r="A12" s="4">
        <v>100.0</v>
      </c>
      <c r="B12" s="5" t="s">
        <v>16</v>
      </c>
      <c r="C12" s="12"/>
      <c r="D12" s="3"/>
    </row>
    <row r="13">
      <c r="A13" s="4">
        <v>0.0</v>
      </c>
      <c r="B13" s="5" t="s">
        <v>17</v>
      </c>
      <c r="C13" s="12"/>
      <c r="D13" s="3"/>
    </row>
    <row r="14">
      <c r="A14" s="10">
        <f>SUM(A8:A13)</f>
        <v>675</v>
      </c>
      <c r="B14" s="14" t="s">
        <v>18</v>
      </c>
      <c r="C14" s="12"/>
      <c r="D14" s="3"/>
    </row>
    <row r="15">
      <c r="A15" s="12"/>
      <c r="C15" s="12"/>
      <c r="D15" s="3"/>
    </row>
    <row r="16">
      <c r="A16" s="1">
        <f> SUM(A5,A14)</f>
        <v>12704</v>
      </c>
      <c r="B16" s="11" t="s">
        <v>19</v>
      </c>
      <c r="C16" s="12"/>
      <c r="D16" s="3"/>
    </row>
    <row r="17">
      <c r="A17" s="12"/>
      <c r="C17" s="12"/>
      <c r="D17" s="3"/>
    </row>
    <row r="18">
      <c r="A18" s="19"/>
      <c r="C18" s="12"/>
      <c r="D18" s="3"/>
    </row>
    <row r="19">
      <c r="A19" s="12"/>
      <c r="C19" s="12"/>
      <c r="D19" s="3"/>
    </row>
    <row r="20">
      <c r="A20" s="12"/>
      <c r="C20" s="12"/>
      <c r="D20" s="3"/>
    </row>
    <row r="21">
      <c r="A21" s="12"/>
      <c r="C21" s="12"/>
      <c r="D21" s="3"/>
    </row>
    <row r="22">
      <c r="A22" s="12"/>
      <c r="C22" s="12"/>
      <c r="D22" s="3"/>
    </row>
    <row r="23">
      <c r="A23" s="12"/>
      <c r="C23" s="12"/>
      <c r="D23" s="3"/>
    </row>
    <row r="24">
      <c r="A24" s="12"/>
      <c r="C24" s="12"/>
      <c r="D24" s="3"/>
    </row>
    <row r="25">
      <c r="A25" s="12"/>
      <c r="C25" s="12"/>
      <c r="D25" s="3"/>
    </row>
    <row r="26">
      <c r="A26" s="12"/>
      <c r="C26" s="12"/>
      <c r="D26" s="3"/>
    </row>
    <row r="27">
      <c r="A27" s="12"/>
      <c r="C27" s="12"/>
      <c r="D27" s="3"/>
    </row>
    <row r="28">
      <c r="A28" s="12"/>
      <c r="C28" s="12"/>
      <c r="D28" s="3"/>
    </row>
    <row r="29">
      <c r="A29" s="12"/>
      <c r="C29" s="12"/>
      <c r="D29" s="3"/>
    </row>
    <row r="30">
      <c r="A30" s="12"/>
      <c r="C30" s="12"/>
      <c r="D30" s="3"/>
    </row>
    <row r="31">
      <c r="A31" s="12"/>
      <c r="C31" s="12"/>
      <c r="D31" s="3"/>
    </row>
    <row r="32">
      <c r="A32" s="12"/>
      <c r="C32" s="12"/>
      <c r="D32" s="3"/>
    </row>
    <row r="33">
      <c r="A33" s="12"/>
      <c r="C33" s="12"/>
      <c r="D33" s="3"/>
    </row>
    <row r="34">
      <c r="A34" s="12"/>
      <c r="C34" s="12"/>
      <c r="D34" s="3"/>
    </row>
    <row r="35">
      <c r="A35" s="12"/>
      <c r="C35" s="12"/>
      <c r="D35" s="3"/>
    </row>
    <row r="36">
      <c r="A36" s="12"/>
      <c r="C36" s="12"/>
      <c r="D36" s="3"/>
    </row>
    <row r="37">
      <c r="A37" s="12"/>
      <c r="C37" s="12"/>
      <c r="D37" s="3"/>
    </row>
    <row r="38">
      <c r="A38" s="12"/>
      <c r="C38" s="12"/>
      <c r="D38" s="3"/>
    </row>
    <row r="39">
      <c r="A39" s="12"/>
      <c r="C39" s="12"/>
      <c r="D39" s="3"/>
    </row>
    <row r="40">
      <c r="A40" s="12"/>
      <c r="C40" s="12"/>
      <c r="D40" s="3"/>
    </row>
    <row r="41">
      <c r="A41" s="12"/>
      <c r="C41" s="12"/>
      <c r="D41" s="3"/>
    </row>
    <row r="42">
      <c r="A42" s="12"/>
      <c r="C42" s="12"/>
      <c r="D42" s="3"/>
    </row>
    <row r="43">
      <c r="A43" s="12"/>
      <c r="C43" s="12"/>
      <c r="D43" s="3"/>
    </row>
    <row r="44">
      <c r="A44" s="12"/>
      <c r="C44" s="12"/>
      <c r="D44" s="3"/>
    </row>
    <row r="45">
      <c r="A45" s="12"/>
      <c r="C45" s="12"/>
      <c r="D45" s="3"/>
    </row>
    <row r="46">
      <c r="A46" s="12"/>
      <c r="C46" s="12"/>
      <c r="D46" s="3"/>
    </row>
    <row r="47">
      <c r="A47" s="12"/>
      <c r="C47" s="12"/>
      <c r="D47" s="3"/>
    </row>
    <row r="48">
      <c r="A48" s="12"/>
      <c r="C48" s="12"/>
      <c r="D48" s="3"/>
    </row>
    <row r="49">
      <c r="A49" s="12"/>
      <c r="C49" s="12"/>
      <c r="D49" s="3"/>
    </row>
    <row r="50">
      <c r="A50" s="12"/>
      <c r="C50" s="12"/>
      <c r="D50" s="3"/>
    </row>
    <row r="51">
      <c r="A51" s="12"/>
      <c r="C51" s="12"/>
      <c r="D51" s="3"/>
    </row>
    <row r="52">
      <c r="A52" s="12"/>
      <c r="C52" s="12"/>
      <c r="D52" s="3"/>
    </row>
    <row r="53">
      <c r="A53" s="12"/>
      <c r="C53" s="12"/>
      <c r="D53" s="3"/>
    </row>
    <row r="54">
      <c r="A54" s="12"/>
      <c r="C54" s="12"/>
      <c r="D54" s="3"/>
    </row>
    <row r="55">
      <c r="A55" s="12"/>
      <c r="C55" s="12"/>
      <c r="D55" s="3"/>
    </row>
    <row r="56">
      <c r="A56" s="12"/>
      <c r="C56" s="12"/>
      <c r="D56" s="3"/>
    </row>
    <row r="57">
      <c r="A57" s="12"/>
      <c r="C57" s="12"/>
      <c r="D57" s="3"/>
    </row>
    <row r="58">
      <c r="A58" s="12"/>
      <c r="C58" s="12"/>
      <c r="D58" s="3"/>
    </row>
    <row r="59">
      <c r="A59" s="12"/>
      <c r="C59" s="12"/>
      <c r="D59" s="3"/>
    </row>
    <row r="60">
      <c r="A60" s="12"/>
      <c r="C60" s="12"/>
      <c r="D60" s="3"/>
    </row>
    <row r="61">
      <c r="A61" s="12"/>
      <c r="C61" s="12"/>
      <c r="D61" s="3"/>
    </row>
    <row r="62">
      <c r="A62" s="12"/>
      <c r="C62" s="12"/>
      <c r="D62" s="3"/>
    </row>
    <row r="63">
      <c r="A63" s="12"/>
      <c r="C63" s="12"/>
      <c r="D63" s="3"/>
    </row>
    <row r="64">
      <c r="A64" s="12"/>
      <c r="C64" s="12"/>
      <c r="D64" s="3"/>
    </row>
    <row r="65">
      <c r="A65" s="12"/>
      <c r="C65" s="12"/>
      <c r="D65" s="3"/>
    </row>
    <row r="66">
      <c r="A66" s="12"/>
      <c r="C66" s="12"/>
      <c r="D66" s="3"/>
    </row>
    <row r="67">
      <c r="A67" s="12"/>
      <c r="C67" s="12"/>
      <c r="D67" s="3"/>
    </row>
    <row r="68">
      <c r="A68" s="12"/>
      <c r="C68" s="12"/>
      <c r="D68" s="3"/>
    </row>
    <row r="69">
      <c r="A69" s="12"/>
      <c r="C69" s="12"/>
      <c r="D69" s="3"/>
    </row>
    <row r="70">
      <c r="A70" s="12"/>
      <c r="C70" s="12"/>
      <c r="D70" s="3"/>
    </row>
    <row r="71">
      <c r="A71" s="12"/>
      <c r="C71" s="12"/>
      <c r="D71" s="3"/>
    </row>
    <row r="72">
      <c r="A72" s="12"/>
      <c r="C72" s="12"/>
      <c r="D72" s="3"/>
    </row>
    <row r="73">
      <c r="A73" s="12"/>
      <c r="C73" s="12"/>
      <c r="D73" s="3"/>
    </row>
    <row r="74">
      <c r="A74" s="12"/>
      <c r="C74" s="12"/>
      <c r="D74" s="3"/>
    </row>
    <row r="75">
      <c r="A75" s="12"/>
      <c r="C75" s="12"/>
      <c r="D75" s="3"/>
    </row>
    <row r="76">
      <c r="A76" s="12"/>
      <c r="C76" s="12"/>
      <c r="D76" s="3"/>
    </row>
    <row r="77">
      <c r="A77" s="12"/>
      <c r="C77" s="12"/>
      <c r="D77" s="3"/>
    </row>
    <row r="78">
      <c r="A78" s="12"/>
      <c r="C78" s="12"/>
      <c r="D78" s="3"/>
    </row>
    <row r="79">
      <c r="A79" s="12"/>
      <c r="C79" s="12"/>
      <c r="D79" s="3"/>
    </row>
    <row r="80">
      <c r="A80" s="12"/>
      <c r="C80" s="12"/>
      <c r="D80" s="3"/>
    </row>
    <row r="81">
      <c r="A81" s="12"/>
      <c r="C81" s="12"/>
      <c r="D81" s="3"/>
    </row>
    <row r="82">
      <c r="A82" s="12"/>
      <c r="C82" s="12"/>
      <c r="D82" s="3"/>
    </row>
    <row r="83">
      <c r="A83" s="12"/>
      <c r="C83" s="12"/>
      <c r="D83" s="3"/>
    </row>
    <row r="84">
      <c r="A84" s="12"/>
      <c r="C84" s="12"/>
      <c r="D84" s="3"/>
    </row>
    <row r="85">
      <c r="A85" s="12"/>
      <c r="C85" s="12"/>
      <c r="D85" s="3"/>
    </row>
    <row r="86">
      <c r="A86" s="12"/>
      <c r="C86" s="12"/>
      <c r="D86" s="3"/>
    </row>
    <row r="87">
      <c r="A87" s="12"/>
      <c r="C87" s="12"/>
      <c r="D87" s="3"/>
    </row>
    <row r="88">
      <c r="A88" s="12"/>
      <c r="C88" s="12"/>
      <c r="D88" s="3"/>
    </row>
    <row r="89">
      <c r="A89" s="12"/>
      <c r="C89" s="12"/>
      <c r="D89" s="3"/>
    </row>
    <row r="90">
      <c r="A90" s="12"/>
      <c r="C90" s="12"/>
      <c r="D90" s="3"/>
    </row>
    <row r="91">
      <c r="A91" s="12"/>
      <c r="C91" s="12"/>
      <c r="D91" s="3"/>
    </row>
    <row r="92">
      <c r="A92" s="12"/>
      <c r="C92" s="12"/>
      <c r="D92" s="3"/>
    </row>
    <row r="93">
      <c r="A93" s="12"/>
      <c r="C93" s="12"/>
      <c r="D93" s="3"/>
    </row>
    <row r="94">
      <c r="A94" s="12"/>
      <c r="C94" s="12"/>
      <c r="D94" s="3"/>
    </row>
    <row r="95">
      <c r="A95" s="12"/>
      <c r="C95" s="12"/>
      <c r="D95" s="3"/>
    </row>
    <row r="96">
      <c r="A96" s="12"/>
      <c r="C96" s="12"/>
      <c r="D96" s="3"/>
    </row>
    <row r="97">
      <c r="A97" s="12"/>
      <c r="C97" s="12"/>
      <c r="D97" s="3"/>
    </row>
    <row r="98">
      <c r="A98" s="12"/>
      <c r="C98" s="12"/>
      <c r="D98" s="3"/>
    </row>
    <row r="99">
      <c r="A99" s="12"/>
      <c r="C99" s="12"/>
      <c r="D99" s="3"/>
    </row>
    <row r="100">
      <c r="A100" s="12"/>
      <c r="C100" s="12"/>
      <c r="D100" s="3"/>
    </row>
    <row r="101">
      <c r="A101" s="12"/>
      <c r="C101" s="12"/>
      <c r="D101" s="3"/>
    </row>
    <row r="102">
      <c r="A102" s="12"/>
      <c r="C102" s="12"/>
      <c r="D102" s="3"/>
    </row>
    <row r="103">
      <c r="A103" s="12"/>
      <c r="C103" s="12"/>
      <c r="D103" s="3"/>
    </row>
    <row r="104">
      <c r="A104" s="12"/>
      <c r="C104" s="12"/>
      <c r="D104" s="3"/>
    </row>
    <row r="105">
      <c r="A105" s="12"/>
      <c r="C105" s="12"/>
      <c r="D105" s="3"/>
    </row>
    <row r="106">
      <c r="A106" s="12"/>
      <c r="C106" s="12"/>
      <c r="D106" s="3"/>
    </row>
    <row r="107">
      <c r="A107" s="12"/>
      <c r="C107" s="12"/>
      <c r="D107" s="3"/>
    </row>
    <row r="108">
      <c r="A108" s="12"/>
      <c r="C108" s="12"/>
      <c r="D108" s="3"/>
    </row>
    <row r="109">
      <c r="A109" s="12"/>
      <c r="C109" s="12"/>
      <c r="D109" s="3"/>
    </row>
    <row r="110">
      <c r="A110" s="12"/>
      <c r="C110" s="12"/>
      <c r="D110" s="3"/>
    </row>
    <row r="111">
      <c r="A111" s="12"/>
      <c r="C111" s="12"/>
      <c r="D111" s="3"/>
    </row>
    <row r="112">
      <c r="A112" s="12"/>
      <c r="C112" s="12"/>
      <c r="D112" s="3"/>
    </row>
    <row r="113">
      <c r="A113" s="12"/>
      <c r="C113" s="12"/>
      <c r="D113" s="3"/>
    </row>
    <row r="114">
      <c r="A114" s="12"/>
      <c r="C114" s="12"/>
      <c r="D114" s="3"/>
    </row>
    <row r="115">
      <c r="A115" s="12"/>
      <c r="C115" s="12"/>
      <c r="D115" s="3"/>
    </row>
    <row r="116">
      <c r="A116" s="12"/>
      <c r="C116" s="12"/>
      <c r="D116" s="3"/>
    </row>
    <row r="117">
      <c r="A117" s="12"/>
      <c r="C117" s="12"/>
      <c r="D117" s="3"/>
    </row>
    <row r="118">
      <c r="A118" s="12"/>
      <c r="C118" s="12"/>
      <c r="D118" s="3"/>
    </row>
    <row r="119">
      <c r="A119" s="12"/>
      <c r="C119" s="12"/>
      <c r="D119" s="3"/>
    </row>
    <row r="120">
      <c r="A120" s="12"/>
      <c r="C120" s="12"/>
      <c r="D120" s="3"/>
    </row>
    <row r="121">
      <c r="A121" s="12"/>
      <c r="C121" s="12"/>
      <c r="D121" s="3"/>
    </row>
    <row r="122">
      <c r="A122" s="12"/>
      <c r="C122" s="12"/>
      <c r="D122" s="3"/>
    </row>
    <row r="123">
      <c r="A123" s="12"/>
      <c r="C123" s="12"/>
      <c r="D123" s="3"/>
    </row>
    <row r="124">
      <c r="A124" s="12"/>
      <c r="C124" s="12"/>
      <c r="D124" s="3"/>
    </row>
    <row r="125">
      <c r="A125" s="12"/>
      <c r="C125" s="12"/>
      <c r="D125" s="3"/>
    </row>
    <row r="126">
      <c r="A126" s="12"/>
      <c r="C126" s="12"/>
      <c r="D126" s="3"/>
    </row>
    <row r="127">
      <c r="A127" s="12"/>
      <c r="C127" s="12"/>
      <c r="D127" s="3"/>
    </row>
    <row r="128">
      <c r="A128" s="12"/>
      <c r="C128" s="12"/>
      <c r="D128" s="3"/>
    </row>
    <row r="129">
      <c r="A129" s="12"/>
      <c r="C129" s="12"/>
      <c r="D129" s="3"/>
    </row>
    <row r="130">
      <c r="A130" s="12"/>
      <c r="C130" s="12"/>
      <c r="D130" s="3"/>
    </row>
    <row r="131">
      <c r="A131" s="12"/>
      <c r="C131" s="12"/>
      <c r="D131" s="3"/>
    </row>
    <row r="132">
      <c r="A132" s="12"/>
      <c r="C132" s="12"/>
      <c r="D132" s="3"/>
    </row>
    <row r="133">
      <c r="A133" s="12"/>
      <c r="C133" s="12"/>
      <c r="D133" s="3"/>
    </row>
    <row r="134">
      <c r="A134" s="12"/>
      <c r="C134" s="12"/>
      <c r="D134" s="3"/>
    </row>
    <row r="135">
      <c r="A135" s="12"/>
      <c r="C135" s="12"/>
      <c r="D135" s="3"/>
    </row>
    <row r="136">
      <c r="A136" s="12"/>
      <c r="C136" s="12"/>
      <c r="D136" s="3"/>
    </row>
    <row r="137">
      <c r="A137" s="12"/>
      <c r="C137" s="12"/>
      <c r="D137" s="3"/>
    </row>
    <row r="138">
      <c r="A138" s="12"/>
      <c r="C138" s="12"/>
      <c r="D138" s="3"/>
    </row>
    <row r="139">
      <c r="A139" s="12"/>
      <c r="C139" s="12"/>
      <c r="D139" s="3"/>
    </row>
    <row r="140">
      <c r="A140" s="12"/>
      <c r="C140" s="12"/>
      <c r="D140" s="3"/>
    </row>
    <row r="141">
      <c r="A141" s="12"/>
      <c r="C141" s="12"/>
      <c r="D141" s="3"/>
    </row>
    <row r="142">
      <c r="A142" s="12"/>
      <c r="C142" s="12"/>
      <c r="D142" s="3"/>
    </row>
    <row r="143">
      <c r="A143" s="12"/>
      <c r="C143" s="12"/>
      <c r="D143" s="3"/>
    </row>
    <row r="144">
      <c r="A144" s="12"/>
      <c r="C144" s="12"/>
      <c r="D144" s="3"/>
    </row>
    <row r="145">
      <c r="A145" s="12"/>
      <c r="C145" s="12"/>
      <c r="D145" s="3"/>
    </row>
    <row r="146">
      <c r="A146" s="12"/>
      <c r="C146" s="12"/>
      <c r="D146" s="3"/>
    </row>
    <row r="147">
      <c r="A147" s="12"/>
      <c r="C147" s="12"/>
      <c r="D147" s="3"/>
    </row>
    <row r="148">
      <c r="A148" s="12"/>
      <c r="C148" s="12"/>
      <c r="D148" s="3"/>
    </row>
    <row r="149">
      <c r="A149" s="12"/>
      <c r="C149" s="12"/>
      <c r="D149" s="3"/>
    </row>
    <row r="150">
      <c r="A150" s="12"/>
      <c r="C150" s="12"/>
      <c r="D150" s="3"/>
    </row>
    <row r="151">
      <c r="A151" s="12"/>
      <c r="C151" s="12"/>
      <c r="D151" s="3"/>
    </row>
    <row r="152">
      <c r="A152" s="12"/>
      <c r="C152" s="12"/>
      <c r="D152" s="3"/>
    </row>
    <row r="153">
      <c r="A153" s="12"/>
      <c r="C153" s="12"/>
      <c r="D153" s="3"/>
    </row>
    <row r="154">
      <c r="A154" s="12"/>
      <c r="C154" s="12"/>
      <c r="D154" s="3"/>
    </row>
    <row r="155">
      <c r="A155" s="12"/>
      <c r="C155" s="12"/>
      <c r="D155" s="3"/>
    </row>
    <row r="156">
      <c r="A156" s="12"/>
      <c r="C156" s="12"/>
      <c r="D156" s="3"/>
    </row>
    <row r="157">
      <c r="A157" s="12"/>
      <c r="C157" s="12"/>
      <c r="D157" s="3"/>
    </row>
    <row r="158">
      <c r="A158" s="12"/>
      <c r="C158" s="12"/>
      <c r="D158" s="3"/>
    </row>
    <row r="159">
      <c r="A159" s="12"/>
      <c r="C159" s="12"/>
      <c r="D159" s="3"/>
    </row>
    <row r="160">
      <c r="A160" s="12"/>
      <c r="C160" s="12"/>
      <c r="D160" s="3"/>
    </row>
    <row r="161">
      <c r="A161" s="12"/>
      <c r="C161" s="12"/>
      <c r="D161" s="3"/>
    </row>
    <row r="162">
      <c r="A162" s="12"/>
      <c r="C162" s="12"/>
      <c r="D162" s="3"/>
    </row>
    <row r="163">
      <c r="A163" s="12"/>
      <c r="C163" s="12"/>
      <c r="D163" s="3"/>
    </row>
    <row r="164">
      <c r="A164" s="12"/>
      <c r="C164" s="12"/>
      <c r="D164" s="3"/>
    </row>
    <row r="165">
      <c r="A165" s="12"/>
      <c r="C165" s="12"/>
      <c r="D165" s="3"/>
    </row>
    <row r="166">
      <c r="A166" s="12"/>
      <c r="C166" s="12"/>
      <c r="D166" s="3"/>
    </row>
    <row r="167">
      <c r="A167" s="12"/>
      <c r="C167" s="12"/>
      <c r="D167" s="3"/>
    </row>
    <row r="168">
      <c r="A168" s="12"/>
      <c r="C168" s="12"/>
      <c r="D168" s="3"/>
    </row>
    <row r="169">
      <c r="A169" s="12"/>
      <c r="C169" s="12"/>
      <c r="D169" s="3"/>
    </row>
    <row r="170">
      <c r="A170" s="12"/>
      <c r="C170" s="12"/>
      <c r="D170" s="3"/>
    </row>
    <row r="171">
      <c r="A171" s="12"/>
      <c r="C171" s="12"/>
      <c r="D171" s="3"/>
    </row>
    <row r="172">
      <c r="A172" s="12"/>
      <c r="C172" s="12"/>
      <c r="D172" s="3"/>
    </row>
    <row r="173">
      <c r="A173" s="12"/>
      <c r="C173" s="12"/>
      <c r="D173" s="3"/>
    </row>
    <row r="174">
      <c r="A174" s="12"/>
      <c r="C174" s="12"/>
      <c r="D174" s="3"/>
    </row>
    <row r="175">
      <c r="A175" s="12"/>
      <c r="C175" s="12"/>
      <c r="D175" s="3"/>
    </row>
    <row r="176">
      <c r="A176" s="12"/>
      <c r="C176" s="12"/>
      <c r="D176" s="3"/>
    </row>
    <row r="177">
      <c r="A177" s="12"/>
      <c r="C177" s="12"/>
      <c r="D177" s="3"/>
    </row>
    <row r="178">
      <c r="A178" s="12"/>
      <c r="C178" s="12"/>
      <c r="D178" s="3"/>
    </row>
    <row r="179">
      <c r="A179" s="12"/>
      <c r="C179" s="12"/>
      <c r="D179" s="3"/>
    </row>
    <row r="180">
      <c r="A180" s="12"/>
      <c r="C180" s="12"/>
      <c r="D180" s="3"/>
    </row>
    <row r="181">
      <c r="A181" s="12"/>
      <c r="C181" s="12"/>
      <c r="D181" s="3"/>
    </row>
    <row r="182">
      <c r="A182" s="12"/>
      <c r="C182" s="12"/>
      <c r="D182" s="3"/>
    </row>
    <row r="183">
      <c r="A183" s="12"/>
      <c r="C183" s="12"/>
      <c r="D183" s="3"/>
    </row>
    <row r="184">
      <c r="A184" s="12"/>
      <c r="C184" s="12"/>
      <c r="D184" s="3"/>
    </row>
    <row r="185">
      <c r="A185" s="12"/>
      <c r="C185" s="12"/>
      <c r="D185" s="3"/>
    </row>
    <row r="186">
      <c r="A186" s="12"/>
      <c r="C186" s="12"/>
      <c r="D186" s="3"/>
    </row>
    <row r="187">
      <c r="A187" s="12"/>
      <c r="C187" s="12"/>
      <c r="D187" s="3"/>
    </row>
    <row r="188">
      <c r="A188" s="12"/>
      <c r="C188" s="12"/>
      <c r="D188" s="3"/>
    </row>
    <row r="189">
      <c r="A189" s="12"/>
      <c r="C189" s="12"/>
      <c r="D189" s="3"/>
    </row>
    <row r="190">
      <c r="A190" s="12"/>
      <c r="C190" s="12"/>
      <c r="D190" s="3"/>
    </row>
    <row r="191">
      <c r="A191" s="12"/>
      <c r="C191" s="12"/>
      <c r="D191" s="3"/>
    </row>
    <row r="192">
      <c r="A192" s="12"/>
      <c r="C192" s="12"/>
      <c r="D192" s="3"/>
    </row>
    <row r="193">
      <c r="A193" s="12"/>
      <c r="C193" s="12"/>
      <c r="D193" s="3"/>
    </row>
    <row r="194">
      <c r="A194" s="12"/>
      <c r="C194" s="12"/>
      <c r="D194" s="3"/>
    </row>
    <row r="195">
      <c r="A195" s="12"/>
      <c r="C195" s="12"/>
      <c r="D195" s="3"/>
    </row>
    <row r="196">
      <c r="A196" s="12"/>
      <c r="C196" s="12"/>
      <c r="D196" s="3"/>
    </row>
    <row r="197">
      <c r="A197" s="12"/>
      <c r="C197" s="12"/>
      <c r="D197" s="3"/>
    </row>
    <row r="198">
      <c r="A198" s="12"/>
      <c r="C198" s="12"/>
      <c r="D198" s="3"/>
    </row>
    <row r="199">
      <c r="A199" s="12"/>
      <c r="C199" s="12"/>
      <c r="D199" s="3"/>
    </row>
    <row r="200">
      <c r="A200" s="12"/>
      <c r="C200" s="12"/>
      <c r="D200" s="3"/>
    </row>
    <row r="201">
      <c r="A201" s="12"/>
      <c r="C201" s="12"/>
      <c r="D201" s="3"/>
    </row>
    <row r="202">
      <c r="A202" s="12"/>
      <c r="C202" s="12"/>
      <c r="D202" s="3"/>
    </row>
    <row r="203">
      <c r="A203" s="12"/>
      <c r="C203" s="12"/>
      <c r="D203" s="3"/>
    </row>
    <row r="204">
      <c r="A204" s="12"/>
      <c r="C204" s="12"/>
      <c r="D204" s="3"/>
    </row>
    <row r="205">
      <c r="A205" s="12"/>
      <c r="C205" s="12"/>
      <c r="D205" s="3"/>
    </row>
    <row r="206">
      <c r="A206" s="12"/>
      <c r="C206" s="12"/>
      <c r="D206" s="3"/>
    </row>
    <row r="207">
      <c r="A207" s="12"/>
      <c r="C207" s="12"/>
      <c r="D207" s="3"/>
    </row>
    <row r="208">
      <c r="A208" s="12"/>
      <c r="C208" s="12"/>
      <c r="D208" s="3"/>
    </row>
    <row r="209">
      <c r="A209" s="12"/>
      <c r="C209" s="12"/>
      <c r="D209" s="3"/>
    </row>
    <row r="210">
      <c r="A210" s="12"/>
      <c r="C210" s="12"/>
      <c r="D210" s="3"/>
    </row>
    <row r="211">
      <c r="A211" s="12"/>
      <c r="C211" s="12"/>
      <c r="D211" s="3"/>
    </row>
    <row r="212">
      <c r="A212" s="12"/>
      <c r="C212" s="12"/>
      <c r="D212" s="3"/>
    </row>
    <row r="213">
      <c r="A213" s="12"/>
      <c r="C213" s="12"/>
      <c r="D213" s="3"/>
    </row>
    <row r="214">
      <c r="A214" s="12"/>
      <c r="C214" s="12"/>
      <c r="D214" s="3"/>
    </row>
    <row r="215">
      <c r="A215" s="12"/>
      <c r="C215" s="12"/>
      <c r="D215" s="3"/>
    </row>
    <row r="216">
      <c r="A216" s="12"/>
      <c r="C216" s="12"/>
      <c r="D216" s="3"/>
    </row>
    <row r="217">
      <c r="A217" s="12"/>
      <c r="C217" s="12"/>
      <c r="D217" s="3"/>
    </row>
    <row r="218">
      <c r="A218" s="12"/>
      <c r="C218" s="12"/>
      <c r="D218" s="3"/>
    </row>
    <row r="219">
      <c r="A219" s="12"/>
      <c r="C219" s="12"/>
      <c r="D219" s="3"/>
    </row>
    <row r="220">
      <c r="A220" s="12"/>
      <c r="C220" s="12"/>
      <c r="D220" s="3"/>
    </row>
    <row r="221">
      <c r="A221" s="12"/>
      <c r="C221" s="12"/>
      <c r="D221" s="3"/>
    </row>
    <row r="222">
      <c r="A222" s="12"/>
      <c r="C222" s="12"/>
      <c r="D222" s="3"/>
    </row>
    <row r="223">
      <c r="A223" s="12"/>
      <c r="C223" s="12"/>
      <c r="D223" s="3"/>
    </row>
    <row r="224">
      <c r="A224" s="12"/>
      <c r="C224" s="12"/>
      <c r="D224" s="3"/>
    </row>
    <row r="225">
      <c r="A225" s="12"/>
      <c r="C225" s="12"/>
      <c r="D225" s="3"/>
    </row>
    <row r="226">
      <c r="A226" s="12"/>
      <c r="C226" s="12"/>
      <c r="D226" s="3"/>
    </row>
    <row r="227">
      <c r="A227" s="12"/>
      <c r="C227" s="12"/>
      <c r="D227" s="3"/>
    </row>
    <row r="228">
      <c r="A228" s="12"/>
      <c r="C228" s="12"/>
      <c r="D228" s="3"/>
    </row>
    <row r="229">
      <c r="A229" s="12"/>
      <c r="C229" s="12"/>
      <c r="D229" s="3"/>
    </row>
    <row r="230">
      <c r="A230" s="12"/>
      <c r="C230" s="12"/>
      <c r="D230" s="3"/>
    </row>
    <row r="231">
      <c r="A231" s="12"/>
      <c r="C231" s="12"/>
      <c r="D231" s="3"/>
    </row>
    <row r="232">
      <c r="A232" s="12"/>
      <c r="C232" s="12"/>
      <c r="D232" s="3"/>
    </row>
    <row r="233">
      <c r="A233" s="12"/>
      <c r="C233" s="12"/>
      <c r="D233" s="3"/>
    </row>
    <row r="234">
      <c r="A234" s="12"/>
      <c r="C234" s="12"/>
      <c r="D234" s="3"/>
    </row>
    <row r="235">
      <c r="A235" s="12"/>
      <c r="C235" s="12"/>
      <c r="D235" s="3"/>
    </row>
    <row r="236">
      <c r="A236" s="12"/>
      <c r="C236" s="12"/>
      <c r="D236" s="3"/>
    </row>
    <row r="237">
      <c r="A237" s="12"/>
      <c r="C237" s="12"/>
      <c r="D237" s="3"/>
    </row>
    <row r="238">
      <c r="A238" s="12"/>
      <c r="C238" s="12"/>
      <c r="D238" s="3"/>
    </row>
    <row r="239">
      <c r="A239" s="12"/>
      <c r="C239" s="12"/>
      <c r="D239" s="3"/>
    </row>
    <row r="240">
      <c r="A240" s="12"/>
      <c r="C240" s="12"/>
      <c r="D240" s="3"/>
    </row>
    <row r="241">
      <c r="A241" s="12"/>
      <c r="C241" s="12"/>
      <c r="D241" s="3"/>
    </row>
    <row r="242">
      <c r="A242" s="12"/>
      <c r="C242" s="12"/>
      <c r="D242" s="3"/>
    </row>
    <row r="243">
      <c r="A243" s="12"/>
      <c r="C243" s="12"/>
      <c r="D243" s="3"/>
    </row>
    <row r="244">
      <c r="A244" s="12"/>
      <c r="C244" s="12"/>
      <c r="D244" s="3"/>
    </row>
    <row r="245">
      <c r="A245" s="12"/>
      <c r="C245" s="12"/>
      <c r="D245" s="3"/>
    </row>
    <row r="246">
      <c r="A246" s="12"/>
      <c r="C246" s="12"/>
      <c r="D246" s="3"/>
    </row>
    <row r="247">
      <c r="A247" s="12"/>
      <c r="C247" s="12"/>
      <c r="D247" s="3"/>
    </row>
    <row r="248">
      <c r="A248" s="12"/>
      <c r="C248" s="12"/>
      <c r="D248" s="3"/>
    </row>
    <row r="249">
      <c r="A249" s="12"/>
      <c r="C249" s="12"/>
      <c r="D249" s="3"/>
    </row>
    <row r="250">
      <c r="A250" s="12"/>
      <c r="C250" s="12"/>
      <c r="D250" s="3"/>
    </row>
    <row r="251">
      <c r="A251" s="12"/>
      <c r="C251" s="12"/>
      <c r="D251" s="3"/>
    </row>
    <row r="252">
      <c r="A252" s="12"/>
      <c r="C252" s="12"/>
      <c r="D252" s="3"/>
    </row>
    <row r="253">
      <c r="A253" s="12"/>
      <c r="C253" s="12"/>
      <c r="D253" s="3"/>
    </row>
    <row r="254">
      <c r="A254" s="12"/>
      <c r="C254" s="12"/>
      <c r="D254" s="3"/>
    </row>
    <row r="255">
      <c r="A255" s="12"/>
      <c r="C255" s="12"/>
      <c r="D255" s="3"/>
    </row>
    <row r="256">
      <c r="A256" s="12"/>
      <c r="C256" s="12"/>
      <c r="D256" s="3"/>
    </row>
    <row r="257">
      <c r="A257" s="12"/>
      <c r="C257" s="12"/>
      <c r="D257" s="3"/>
    </row>
    <row r="258">
      <c r="A258" s="12"/>
      <c r="C258" s="12"/>
      <c r="D258" s="3"/>
    </row>
    <row r="259">
      <c r="A259" s="12"/>
      <c r="C259" s="12"/>
      <c r="D259" s="3"/>
    </row>
    <row r="260">
      <c r="A260" s="12"/>
      <c r="C260" s="12"/>
      <c r="D260" s="3"/>
    </row>
    <row r="261">
      <c r="A261" s="12"/>
      <c r="C261" s="12"/>
      <c r="D261" s="3"/>
    </row>
    <row r="262">
      <c r="A262" s="12"/>
      <c r="C262" s="12"/>
      <c r="D262" s="3"/>
    </row>
    <row r="263">
      <c r="A263" s="12"/>
      <c r="C263" s="12"/>
      <c r="D263" s="3"/>
    </row>
    <row r="264">
      <c r="A264" s="12"/>
      <c r="C264" s="12"/>
      <c r="D264" s="3"/>
    </row>
    <row r="265">
      <c r="A265" s="12"/>
      <c r="C265" s="12"/>
      <c r="D265" s="3"/>
    </row>
    <row r="266">
      <c r="A266" s="12"/>
      <c r="C266" s="12"/>
      <c r="D266" s="3"/>
    </row>
    <row r="267">
      <c r="A267" s="12"/>
      <c r="C267" s="12"/>
      <c r="D267" s="3"/>
    </row>
    <row r="268">
      <c r="A268" s="12"/>
      <c r="C268" s="12"/>
      <c r="D268" s="3"/>
    </row>
    <row r="269">
      <c r="A269" s="12"/>
      <c r="C269" s="12"/>
      <c r="D269" s="3"/>
    </row>
    <row r="270">
      <c r="A270" s="12"/>
      <c r="C270" s="12"/>
      <c r="D270" s="3"/>
    </row>
    <row r="271">
      <c r="A271" s="12"/>
      <c r="C271" s="12"/>
      <c r="D271" s="3"/>
    </row>
    <row r="272">
      <c r="A272" s="12"/>
      <c r="C272" s="12"/>
      <c r="D272" s="3"/>
    </row>
    <row r="273">
      <c r="A273" s="12"/>
      <c r="C273" s="12"/>
      <c r="D273" s="3"/>
    </row>
    <row r="274">
      <c r="A274" s="12"/>
      <c r="C274" s="12"/>
      <c r="D274" s="3"/>
    </row>
    <row r="275">
      <c r="A275" s="12"/>
      <c r="C275" s="12"/>
      <c r="D275" s="3"/>
    </row>
    <row r="276">
      <c r="A276" s="12"/>
      <c r="C276" s="12"/>
      <c r="D276" s="3"/>
    </row>
    <row r="277">
      <c r="A277" s="12"/>
      <c r="C277" s="12"/>
      <c r="D277" s="3"/>
    </row>
    <row r="278">
      <c r="A278" s="12"/>
      <c r="C278" s="12"/>
      <c r="D278" s="3"/>
    </row>
    <row r="279">
      <c r="A279" s="12"/>
      <c r="C279" s="12"/>
      <c r="D279" s="3"/>
    </row>
    <row r="280">
      <c r="A280" s="12"/>
      <c r="C280" s="12"/>
      <c r="D280" s="3"/>
    </row>
    <row r="281">
      <c r="A281" s="12"/>
      <c r="C281" s="12"/>
      <c r="D281" s="3"/>
    </row>
    <row r="282">
      <c r="A282" s="12"/>
      <c r="C282" s="12"/>
      <c r="D282" s="3"/>
    </row>
    <row r="283">
      <c r="A283" s="12"/>
      <c r="C283" s="12"/>
      <c r="D283" s="3"/>
    </row>
    <row r="284">
      <c r="A284" s="12"/>
      <c r="C284" s="12"/>
      <c r="D284" s="3"/>
    </row>
    <row r="285">
      <c r="A285" s="12"/>
      <c r="C285" s="12"/>
      <c r="D285" s="3"/>
    </row>
    <row r="286">
      <c r="A286" s="12"/>
      <c r="C286" s="12"/>
      <c r="D286" s="3"/>
    </row>
    <row r="287">
      <c r="A287" s="12"/>
      <c r="C287" s="12"/>
      <c r="D287" s="3"/>
    </row>
    <row r="288">
      <c r="A288" s="12"/>
      <c r="C288" s="12"/>
      <c r="D288" s="3"/>
    </row>
    <row r="289">
      <c r="A289" s="12"/>
      <c r="C289" s="12"/>
      <c r="D289" s="3"/>
    </row>
    <row r="290">
      <c r="A290" s="12"/>
      <c r="C290" s="12"/>
      <c r="D290" s="3"/>
    </row>
    <row r="291">
      <c r="A291" s="12"/>
      <c r="C291" s="12"/>
      <c r="D291" s="3"/>
    </row>
    <row r="292">
      <c r="A292" s="12"/>
      <c r="C292" s="12"/>
      <c r="D292" s="3"/>
    </row>
    <row r="293">
      <c r="A293" s="12"/>
      <c r="C293" s="12"/>
      <c r="D293" s="3"/>
    </row>
    <row r="294">
      <c r="A294" s="12"/>
      <c r="C294" s="12"/>
      <c r="D294" s="3"/>
    </row>
    <row r="295">
      <c r="A295" s="12"/>
      <c r="C295" s="12"/>
      <c r="D295" s="3"/>
    </row>
    <row r="296">
      <c r="A296" s="12"/>
      <c r="C296" s="12"/>
      <c r="D296" s="3"/>
    </row>
    <row r="297">
      <c r="A297" s="12"/>
      <c r="C297" s="12"/>
      <c r="D297" s="3"/>
    </row>
    <row r="298">
      <c r="A298" s="12"/>
      <c r="C298" s="12"/>
      <c r="D298" s="3"/>
    </row>
    <row r="299">
      <c r="A299" s="12"/>
      <c r="C299" s="12"/>
      <c r="D299" s="3"/>
    </row>
    <row r="300">
      <c r="A300" s="12"/>
      <c r="C300" s="12"/>
      <c r="D300" s="3"/>
    </row>
    <row r="301">
      <c r="A301" s="12"/>
      <c r="C301" s="12"/>
      <c r="D301" s="3"/>
    </row>
    <row r="302">
      <c r="A302" s="12"/>
      <c r="C302" s="12"/>
      <c r="D302" s="3"/>
    </row>
    <row r="303">
      <c r="A303" s="12"/>
      <c r="C303" s="12"/>
      <c r="D303" s="3"/>
    </row>
    <row r="304">
      <c r="A304" s="12"/>
      <c r="C304" s="12"/>
      <c r="D304" s="3"/>
    </row>
    <row r="305">
      <c r="A305" s="12"/>
      <c r="C305" s="12"/>
      <c r="D305" s="3"/>
    </row>
    <row r="306">
      <c r="A306" s="12"/>
      <c r="C306" s="12"/>
      <c r="D306" s="3"/>
    </row>
    <row r="307">
      <c r="A307" s="12"/>
      <c r="C307" s="12"/>
      <c r="D307" s="3"/>
    </row>
    <row r="308">
      <c r="A308" s="12"/>
      <c r="C308" s="12"/>
      <c r="D308" s="3"/>
    </row>
    <row r="309">
      <c r="A309" s="12"/>
      <c r="C309" s="12"/>
      <c r="D309" s="3"/>
    </row>
    <row r="310">
      <c r="A310" s="12"/>
      <c r="C310" s="12"/>
      <c r="D310" s="3"/>
    </row>
    <row r="311">
      <c r="A311" s="12"/>
      <c r="C311" s="12"/>
      <c r="D311" s="3"/>
    </row>
    <row r="312">
      <c r="A312" s="12"/>
      <c r="C312" s="12"/>
      <c r="D312" s="3"/>
    </row>
    <row r="313">
      <c r="A313" s="12"/>
      <c r="C313" s="12"/>
      <c r="D313" s="3"/>
    </row>
    <row r="314">
      <c r="A314" s="12"/>
      <c r="C314" s="12"/>
      <c r="D314" s="3"/>
    </row>
    <row r="315">
      <c r="A315" s="12"/>
      <c r="C315" s="12"/>
      <c r="D315" s="3"/>
    </row>
    <row r="316">
      <c r="A316" s="12"/>
      <c r="C316" s="12"/>
      <c r="D316" s="3"/>
    </row>
    <row r="317">
      <c r="A317" s="12"/>
      <c r="C317" s="12"/>
      <c r="D317" s="3"/>
    </row>
    <row r="318">
      <c r="A318" s="12"/>
      <c r="C318" s="12"/>
      <c r="D318" s="3"/>
    </row>
    <row r="319">
      <c r="A319" s="12"/>
      <c r="C319" s="12"/>
      <c r="D319" s="3"/>
    </row>
    <row r="320">
      <c r="A320" s="12"/>
      <c r="C320" s="12"/>
      <c r="D320" s="3"/>
    </row>
    <row r="321">
      <c r="A321" s="12"/>
      <c r="C321" s="12"/>
      <c r="D321" s="3"/>
    </row>
    <row r="322">
      <c r="A322" s="12"/>
      <c r="C322" s="12"/>
      <c r="D322" s="3"/>
    </row>
    <row r="323">
      <c r="A323" s="12"/>
      <c r="C323" s="12"/>
      <c r="D323" s="3"/>
    </row>
    <row r="324">
      <c r="A324" s="12"/>
      <c r="C324" s="12"/>
      <c r="D324" s="3"/>
    </row>
    <row r="325">
      <c r="A325" s="12"/>
      <c r="C325" s="12"/>
      <c r="D325" s="3"/>
    </row>
    <row r="326">
      <c r="A326" s="12"/>
      <c r="C326" s="12"/>
      <c r="D326" s="3"/>
    </row>
    <row r="327">
      <c r="A327" s="12"/>
      <c r="C327" s="12"/>
      <c r="D327" s="3"/>
    </row>
    <row r="328">
      <c r="A328" s="12"/>
      <c r="C328" s="12"/>
      <c r="D328" s="3"/>
    </row>
    <row r="329">
      <c r="A329" s="12"/>
      <c r="C329" s="12"/>
      <c r="D329" s="3"/>
    </row>
    <row r="330">
      <c r="A330" s="12"/>
      <c r="C330" s="12"/>
      <c r="D330" s="3"/>
    </row>
    <row r="331">
      <c r="A331" s="12"/>
      <c r="C331" s="12"/>
      <c r="D331" s="3"/>
    </row>
    <row r="332">
      <c r="A332" s="12"/>
      <c r="C332" s="12"/>
      <c r="D332" s="3"/>
    </row>
    <row r="333">
      <c r="A333" s="12"/>
      <c r="C333" s="12"/>
      <c r="D333" s="3"/>
    </row>
    <row r="334">
      <c r="A334" s="12"/>
      <c r="C334" s="12"/>
      <c r="D334" s="3"/>
    </row>
    <row r="335">
      <c r="A335" s="12"/>
      <c r="C335" s="12"/>
      <c r="D335" s="3"/>
    </row>
    <row r="336">
      <c r="A336" s="12"/>
      <c r="C336" s="12"/>
      <c r="D336" s="3"/>
    </row>
    <row r="337">
      <c r="A337" s="12"/>
      <c r="C337" s="12"/>
      <c r="D337" s="3"/>
    </row>
    <row r="338">
      <c r="A338" s="12"/>
      <c r="C338" s="12"/>
      <c r="D338" s="3"/>
    </row>
    <row r="339">
      <c r="A339" s="12"/>
      <c r="C339" s="12"/>
      <c r="D339" s="3"/>
    </row>
    <row r="340">
      <c r="A340" s="12"/>
      <c r="C340" s="12"/>
      <c r="D340" s="3"/>
    </row>
    <row r="341">
      <c r="A341" s="12"/>
      <c r="C341" s="12"/>
      <c r="D341" s="3"/>
    </row>
    <row r="342">
      <c r="A342" s="12"/>
      <c r="C342" s="12"/>
      <c r="D342" s="3"/>
    </row>
    <row r="343">
      <c r="A343" s="12"/>
      <c r="C343" s="12"/>
      <c r="D343" s="3"/>
    </row>
    <row r="344">
      <c r="A344" s="12"/>
      <c r="C344" s="12"/>
      <c r="D344" s="3"/>
    </row>
    <row r="345">
      <c r="A345" s="12"/>
      <c r="C345" s="12"/>
      <c r="D345" s="3"/>
    </row>
    <row r="346">
      <c r="A346" s="12"/>
      <c r="C346" s="12"/>
      <c r="D346" s="3"/>
    </row>
    <row r="347">
      <c r="A347" s="12"/>
      <c r="C347" s="12"/>
      <c r="D347" s="3"/>
    </row>
    <row r="348">
      <c r="A348" s="12"/>
      <c r="C348" s="12"/>
      <c r="D348" s="3"/>
    </row>
    <row r="349">
      <c r="A349" s="12"/>
      <c r="C349" s="12"/>
      <c r="D349" s="3"/>
    </row>
    <row r="350">
      <c r="A350" s="12"/>
      <c r="C350" s="12"/>
      <c r="D350" s="3"/>
    </row>
    <row r="351">
      <c r="A351" s="12"/>
      <c r="C351" s="12"/>
      <c r="D351" s="3"/>
    </row>
    <row r="352">
      <c r="A352" s="12"/>
      <c r="C352" s="12"/>
      <c r="D352" s="3"/>
    </row>
    <row r="353">
      <c r="A353" s="12"/>
      <c r="C353" s="12"/>
      <c r="D353" s="3"/>
    </row>
    <row r="354">
      <c r="A354" s="12"/>
      <c r="C354" s="12"/>
      <c r="D354" s="3"/>
    </row>
    <row r="355">
      <c r="A355" s="12"/>
      <c r="C355" s="12"/>
      <c r="D355" s="3"/>
    </row>
    <row r="356">
      <c r="A356" s="12"/>
      <c r="C356" s="12"/>
      <c r="D356" s="3"/>
    </row>
    <row r="357">
      <c r="A357" s="12"/>
      <c r="C357" s="12"/>
      <c r="D357" s="3"/>
    </row>
    <row r="358">
      <c r="A358" s="12"/>
      <c r="C358" s="12"/>
      <c r="D358" s="3"/>
    </row>
    <row r="359">
      <c r="A359" s="12"/>
      <c r="C359" s="12"/>
      <c r="D359" s="3"/>
    </row>
    <row r="360">
      <c r="A360" s="12"/>
      <c r="C360" s="12"/>
      <c r="D360" s="3"/>
    </row>
    <row r="361">
      <c r="A361" s="12"/>
      <c r="C361" s="12"/>
      <c r="D361" s="3"/>
    </row>
    <row r="362">
      <c r="A362" s="12"/>
      <c r="C362" s="12"/>
      <c r="D362" s="3"/>
    </row>
    <row r="363">
      <c r="A363" s="12"/>
      <c r="C363" s="12"/>
      <c r="D363" s="3"/>
    </row>
    <row r="364">
      <c r="A364" s="12"/>
      <c r="C364" s="12"/>
      <c r="D364" s="3"/>
    </row>
    <row r="365">
      <c r="A365" s="12"/>
      <c r="C365" s="12"/>
      <c r="D365" s="3"/>
    </row>
    <row r="366">
      <c r="A366" s="12"/>
      <c r="C366" s="12"/>
      <c r="D366" s="3"/>
    </row>
    <row r="367">
      <c r="A367" s="12"/>
      <c r="C367" s="12"/>
      <c r="D367" s="3"/>
    </row>
    <row r="368">
      <c r="A368" s="12"/>
      <c r="C368" s="12"/>
      <c r="D368" s="3"/>
    </row>
    <row r="369">
      <c r="A369" s="12"/>
      <c r="C369" s="12"/>
      <c r="D369" s="3"/>
    </row>
    <row r="370">
      <c r="A370" s="12"/>
      <c r="C370" s="12"/>
      <c r="D370" s="3"/>
    </row>
    <row r="371">
      <c r="A371" s="12"/>
      <c r="C371" s="12"/>
      <c r="D371" s="3"/>
    </row>
    <row r="372">
      <c r="A372" s="12"/>
      <c r="C372" s="12"/>
      <c r="D372" s="3"/>
    </row>
    <row r="373">
      <c r="A373" s="12"/>
      <c r="C373" s="12"/>
      <c r="D373" s="3"/>
    </row>
    <row r="374">
      <c r="A374" s="12"/>
      <c r="C374" s="12"/>
      <c r="D374" s="3"/>
    </row>
    <row r="375">
      <c r="A375" s="12"/>
      <c r="C375" s="12"/>
      <c r="D375" s="3"/>
    </row>
    <row r="376">
      <c r="A376" s="12"/>
      <c r="C376" s="12"/>
      <c r="D376" s="3"/>
    </row>
    <row r="377">
      <c r="A377" s="12"/>
      <c r="C377" s="12"/>
      <c r="D377" s="3"/>
    </row>
    <row r="378">
      <c r="A378" s="12"/>
      <c r="C378" s="12"/>
      <c r="D378" s="3"/>
    </row>
    <row r="379">
      <c r="A379" s="12"/>
      <c r="C379" s="12"/>
      <c r="D379" s="3"/>
    </row>
    <row r="380">
      <c r="A380" s="12"/>
      <c r="C380" s="12"/>
      <c r="D380" s="3"/>
    </row>
    <row r="381">
      <c r="A381" s="12"/>
      <c r="C381" s="12"/>
      <c r="D381" s="3"/>
    </row>
    <row r="382">
      <c r="A382" s="12"/>
      <c r="C382" s="12"/>
      <c r="D382" s="3"/>
    </row>
    <row r="383">
      <c r="A383" s="12"/>
      <c r="C383" s="12"/>
      <c r="D383" s="3"/>
    </row>
    <row r="384">
      <c r="A384" s="12"/>
      <c r="C384" s="12"/>
      <c r="D384" s="3"/>
    </row>
    <row r="385">
      <c r="A385" s="12"/>
      <c r="C385" s="12"/>
      <c r="D385" s="3"/>
    </row>
    <row r="386">
      <c r="A386" s="12"/>
      <c r="C386" s="12"/>
      <c r="D386" s="3"/>
    </row>
    <row r="387">
      <c r="A387" s="12"/>
      <c r="C387" s="12"/>
      <c r="D387" s="3"/>
    </row>
    <row r="388">
      <c r="A388" s="12"/>
      <c r="C388" s="12"/>
      <c r="D388" s="3"/>
    </row>
    <row r="389">
      <c r="A389" s="12"/>
      <c r="C389" s="12"/>
      <c r="D389" s="3"/>
    </row>
    <row r="390">
      <c r="A390" s="12"/>
      <c r="C390" s="12"/>
      <c r="D390" s="3"/>
    </row>
    <row r="391">
      <c r="A391" s="12"/>
      <c r="C391" s="12"/>
      <c r="D391" s="3"/>
    </row>
    <row r="392">
      <c r="A392" s="12"/>
      <c r="C392" s="12"/>
      <c r="D392" s="3"/>
    </row>
    <row r="393">
      <c r="A393" s="12"/>
      <c r="C393" s="12"/>
      <c r="D393" s="3"/>
    </row>
    <row r="394">
      <c r="A394" s="12"/>
      <c r="C394" s="12"/>
      <c r="D394" s="3"/>
    </row>
    <row r="395">
      <c r="A395" s="12"/>
      <c r="C395" s="12"/>
      <c r="D395" s="3"/>
    </row>
    <row r="396">
      <c r="A396" s="12"/>
      <c r="C396" s="12"/>
      <c r="D396" s="3"/>
    </row>
    <row r="397">
      <c r="A397" s="12"/>
      <c r="C397" s="12"/>
      <c r="D397" s="3"/>
    </row>
    <row r="398">
      <c r="A398" s="12"/>
      <c r="C398" s="12"/>
      <c r="D398" s="3"/>
    </row>
    <row r="399">
      <c r="A399" s="12"/>
      <c r="C399" s="12"/>
      <c r="D399" s="3"/>
    </row>
    <row r="400">
      <c r="A400" s="12"/>
      <c r="C400" s="12"/>
      <c r="D400" s="3"/>
    </row>
    <row r="401">
      <c r="A401" s="12"/>
      <c r="C401" s="12"/>
      <c r="D401" s="3"/>
    </row>
    <row r="402">
      <c r="A402" s="12"/>
      <c r="C402" s="12"/>
      <c r="D402" s="3"/>
    </row>
    <row r="403">
      <c r="A403" s="12"/>
      <c r="C403" s="12"/>
      <c r="D403" s="3"/>
    </row>
    <row r="404">
      <c r="A404" s="12"/>
      <c r="C404" s="12"/>
      <c r="D404" s="3"/>
    </row>
    <row r="405">
      <c r="A405" s="12"/>
      <c r="C405" s="12"/>
      <c r="D405" s="3"/>
    </row>
    <row r="406">
      <c r="A406" s="12"/>
      <c r="C406" s="12"/>
      <c r="D406" s="3"/>
    </row>
    <row r="407">
      <c r="A407" s="12"/>
      <c r="C407" s="12"/>
      <c r="D407" s="3"/>
    </row>
    <row r="408">
      <c r="A408" s="12"/>
      <c r="C408" s="12"/>
      <c r="D408" s="3"/>
    </row>
    <row r="409">
      <c r="A409" s="12"/>
      <c r="C409" s="12"/>
      <c r="D409" s="3"/>
    </row>
    <row r="410">
      <c r="A410" s="12"/>
      <c r="C410" s="12"/>
      <c r="D410" s="3"/>
    </row>
    <row r="411">
      <c r="A411" s="12"/>
      <c r="C411" s="12"/>
      <c r="D411" s="3"/>
    </row>
    <row r="412">
      <c r="A412" s="12"/>
      <c r="C412" s="12"/>
      <c r="D412" s="3"/>
    </row>
    <row r="413">
      <c r="A413" s="12"/>
      <c r="C413" s="12"/>
      <c r="D413" s="3"/>
    </row>
    <row r="414">
      <c r="A414" s="12"/>
      <c r="C414" s="12"/>
      <c r="D414" s="3"/>
    </row>
    <row r="415">
      <c r="A415" s="12"/>
      <c r="C415" s="12"/>
      <c r="D415" s="3"/>
    </row>
    <row r="416">
      <c r="A416" s="12"/>
      <c r="C416" s="12"/>
      <c r="D416" s="3"/>
    </row>
    <row r="417">
      <c r="A417" s="12"/>
      <c r="C417" s="12"/>
      <c r="D417" s="3"/>
    </row>
    <row r="418">
      <c r="A418" s="12"/>
      <c r="C418" s="12"/>
      <c r="D418" s="3"/>
    </row>
    <row r="419">
      <c r="A419" s="12"/>
      <c r="C419" s="12"/>
      <c r="D419" s="3"/>
    </row>
    <row r="420">
      <c r="A420" s="12"/>
      <c r="C420" s="12"/>
      <c r="D420" s="3"/>
    </row>
    <row r="421">
      <c r="A421" s="12"/>
      <c r="C421" s="12"/>
      <c r="D421" s="3"/>
    </row>
    <row r="422">
      <c r="A422" s="12"/>
      <c r="C422" s="12"/>
      <c r="D422" s="3"/>
    </row>
    <row r="423">
      <c r="A423" s="12"/>
      <c r="C423" s="12"/>
      <c r="D423" s="3"/>
    </row>
    <row r="424">
      <c r="A424" s="12"/>
      <c r="C424" s="12"/>
      <c r="D424" s="3"/>
    </row>
    <row r="425">
      <c r="A425" s="12"/>
      <c r="C425" s="12"/>
      <c r="D425" s="3"/>
    </row>
    <row r="426">
      <c r="A426" s="12"/>
      <c r="C426" s="12"/>
      <c r="D426" s="3"/>
    </row>
    <row r="427">
      <c r="A427" s="12"/>
      <c r="C427" s="12"/>
      <c r="D427" s="3"/>
    </row>
    <row r="428">
      <c r="A428" s="12"/>
      <c r="C428" s="12"/>
      <c r="D428" s="3"/>
    </row>
    <row r="429">
      <c r="A429" s="12"/>
      <c r="C429" s="12"/>
      <c r="D429" s="3"/>
    </row>
    <row r="430">
      <c r="A430" s="12"/>
      <c r="C430" s="12"/>
      <c r="D430" s="3"/>
    </row>
    <row r="431">
      <c r="A431" s="12"/>
      <c r="C431" s="12"/>
      <c r="D431" s="3"/>
    </row>
    <row r="432">
      <c r="A432" s="12"/>
      <c r="C432" s="12"/>
      <c r="D432" s="3"/>
    </row>
    <row r="433">
      <c r="A433" s="12"/>
      <c r="C433" s="12"/>
      <c r="D433" s="3"/>
    </row>
    <row r="434">
      <c r="A434" s="12"/>
      <c r="C434" s="12"/>
      <c r="D434" s="3"/>
    </row>
    <row r="435">
      <c r="A435" s="12"/>
      <c r="C435" s="12"/>
      <c r="D435" s="3"/>
    </row>
    <row r="436">
      <c r="A436" s="12"/>
      <c r="C436" s="12"/>
      <c r="D436" s="3"/>
    </row>
    <row r="437">
      <c r="A437" s="12"/>
      <c r="C437" s="12"/>
      <c r="D437" s="3"/>
    </row>
    <row r="438">
      <c r="A438" s="12"/>
      <c r="C438" s="12"/>
      <c r="D438" s="3"/>
    </row>
    <row r="439">
      <c r="A439" s="12"/>
      <c r="C439" s="12"/>
      <c r="D439" s="3"/>
    </row>
    <row r="440">
      <c r="A440" s="12"/>
      <c r="C440" s="12"/>
      <c r="D440" s="3"/>
    </row>
    <row r="441">
      <c r="A441" s="12"/>
      <c r="C441" s="12"/>
      <c r="D441" s="3"/>
    </row>
    <row r="442">
      <c r="A442" s="12"/>
      <c r="C442" s="12"/>
      <c r="D442" s="3"/>
    </row>
    <row r="443">
      <c r="A443" s="12"/>
      <c r="C443" s="12"/>
      <c r="D443" s="3"/>
    </row>
    <row r="444">
      <c r="A444" s="12"/>
      <c r="C444" s="12"/>
      <c r="D444" s="3"/>
    </row>
    <row r="445">
      <c r="A445" s="12"/>
      <c r="C445" s="12"/>
      <c r="D445" s="3"/>
    </row>
    <row r="446">
      <c r="A446" s="12"/>
      <c r="C446" s="12"/>
      <c r="D446" s="3"/>
    </row>
    <row r="447">
      <c r="A447" s="12"/>
      <c r="C447" s="12"/>
      <c r="D447" s="3"/>
    </row>
    <row r="448">
      <c r="A448" s="12"/>
      <c r="C448" s="12"/>
      <c r="D448" s="3"/>
    </row>
    <row r="449">
      <c r="A449" s="12"/>
      <c r="C449" s="12"/>
      <c r="D449" s="3"/>
    </row>
    <row r="450">
      <c r="A450" s="12"/>
      <c r="C450" s="12"/>
      <c r="D450" s="3"/>
    </row>
    <row r="451">
      <c r="A451" s="12"/>
      <c r="C451" s="12"/>
      <c r="D451" s="3"/>
    </row>
    <row r="452">
      <c r="A452" s="12"/>
      <c r="C452" s="12"/>
      <c r="D452" s="3"/>
    </row>
    <row r="453">
      <c r="A453" s="12"/>
      <c r="C453" s="12"/>
      <c r="D453" s="3"/>
    </row>
    <row r="454">
      <c r="A454" s="12"/>
      <c r="C454" s="12"/>
      <c r="D454" s="3"/>
    </row>
    <row r="455">
      <c r="A455" s="12"/>
      <c r="C455" s="12"/>
      <c r="D455" s="3"/>
    </row>
    <row r="456">
      <c r="A456" s="12"/>
      <c r="C456" s="12"/>
      <c r="D456" s="3"/>
    </row>
    <row r="457">
      <c r="A457" s="12"/>
      <c r="C457" s="12"/>
      <c r="D457" s="3"/>
    </row>
    <row r="458">
      <c r="A458" s="12"/>
      <c r="C458" s="12"/>
      <c r="D458" s="3"/>
    </row>
    <row r="459">
      <c r="A459" s="12"/>
      <c r="C459" s="12"/>
      <c r="D459" s="3"/>
    </row>
    <row r="460">
      <c r="A460" s="12"/>
      <c r="C460" s="12"/>
      <c r="D460" s="3"/>
    </row>
    <row r="461">
      <c r="A461" s="12"/>
      <c r="C461" s="12"/>
      <c r="D461" s="3"/>
    </row>
    <row r="462">
      <c r="A462" s="12"/>
      <c r="C462" s="12"/>
      <c r="D462" s="3"/>
    </row>
    <row r="463">
      <c r="A463" s="12"/>
      <c r="C463" s="12"/>
      <c r="D463" s="3"/>
    </row>
    <row r="464">
      <c r="A464" s="12"/>
      <c r="C464" s="12"/>
      <c r="D464" s="3"/>
    </row>
    <row r="465">
      <c r="A465" s="12"/>
      <c r="C465" s="12"/>
      <c r="D465" s="3"/>
    </row>
    <row r="466">
      <c r="A466" s="12"/>
      <c r="C466" s="12"/>
      <c r="D466" s="3"/>
    </row>
    <row r="467">
      <c r="A467" s="12"/>
      <c r="C467" s="12"/>
      <c r="D467" s="3"/>
    </row>
    <row r="468">
      <c r="A468" s="12"/>
      <c r="C468" s="12"/>
      <c r="D468" s="3"/>
    </row>
    <row r="469">
      <c r="A469" s="12"/>
      <c r="C469" s="12"/>
      <c r="D469" s="3"/>
    </row>
    <row r="470">
      <c r="A470" s="12"/>
      <c r="C470" s="12"/>
      <c r="D470" s="3"/>
    </row>
    <row r="471">
      <c r="A471" s="12"/>
      <c r="C471" s="12"/>
      <c r="D471" s="3"/>
    </row>
    <row r="472">
      <c r="A472" s="12"/>
      <c r="C472" s="12"/>
      <c r="D472" s="3"/>
    </row>
    <row r="473">
      <c r="A473" s="12"/>
      <c r="C473" s="12"/>
      <c r="D473" s="3"/>
    </row>
    <row r="474">
      <c r="A474" s="12"/>
      <c r="C474" s="12"/>
      <c r="D474" s="3"/>
    </row>
    <row r="475">
      <c r="A475" s="12"/>
      <c r="C475" s="12"/>
      <c r="D475" s="3"/>
    </row>
    <row r="476">
      <c r="A476" s="12"/>
      <c r="C476" s="12"/>
      <c r="D476" s="3"/>
    </row>
    <row r="477">
      <c r="A477" s="12"/>
      <c r="C477" s="12"/>
      <c r="D477" s="3"/>
    </row>
    <row r="478">
      <c r="A478" s="12"/>
      <c r="C478" s="12"/>
      <c r="D478" s="3"/>
    </row>
    <row r="479">
      <c r="A479" s="12"/>
      <c r="C479" s="12"/>
      <c r="D479" s="3"/>
    </row>
    <row r="480">
      <c r="A480" s="12"/>
      <c r="C480" s="12"/>
      <c r="D480" s="3"/>
    </row>
    <row r="481">
      <c r="A481" s="12"/>
      <c r="C481" s="12"/>
      <c r="D481" s="3"/>
    </row>
    <row r="482">
      <c r="A482" s="12"/>
      <c r="C482" s="12"/>
      <c r="D482" s="3"/>
    </row>
    <row r="483">
      <c r="A483" s="12"/>
      <c r="C483" s="12"/>
      <c r="D483" s="3"/>
    </row>
    <row r="484">
      <c r="A484" s="12"/>
      <c r="C484" s="12"/>
      <c r="D484" s="3"/>
    </row>
    <row r="485">
      <c r="A485" s="12"/>
      <c r="C485" s="12"/>
      <c r="D485" s="3"/>
    </row>
    <row r="486">
      <c r="A486" s="12"/>
      <c r="C486" s="12"/>
      <c r="D486" s="3"/>
    </row>
    <row r="487">
      <c r="A487" s="12"/>
      <c r="C487" s="12"/>
      <c r="D487" s="3"/>
    </row>
    <row r="488">
      <c r="A488" s="12"/>
      <c r="C488" s="12"/>
      <c r="D488" s="3"/>
    </row>
    <row r="489">
      <c r="A489" s="12"/>
      <c r="C489" s="12"/>
      <c r="D489" s="3"/>
    </row>
    <row r="490">
      <c r="A490" s="12"/>
      <c r="C490" s="12"/>
      <c r="D490" s="3"/>
    </row>
    <row r="491">
      <c r="A491" s="12"/>
      <c r="C491" s="12"/>
      <c r="D491" s="3"/>
    </row>
    <row r="492">
      <c r="A492" s="12"/>
      <c r="C492" s="12"/>
      <c r="D492" s="3"/>
    </row>
    <row r="493">
      <c r="A493" s="12"/>
      <c r="C493" s="12"/>
      <c r="D493" s="3"/>
    </row>
    <row r="494">
      <c r="A494" s="12"/>
      <c r="C494" s="12"/>
      <c r="D494" s="3"/>
    </row>
    <row r="495">
      <c r="A495" s="12"/>
      <c r="C495" s="12"/>
      <c r="D495" s="3"/>
    </row>
    <row r="496">
      <c r="A496" s="12"/>
      <c r="C496" s="12"/>
      <c r="D496" s="3"/>
    </row>
    <row r="497">
      <c r="A497" s="12"/>
      <c r="C497" s="12"/>
      <c r="D497" s="3"/>
    </row>
    <row r="498">
      <c r="A498" s="12"/>
      <c r="C498" s="12"/>
      <c r="D498" s="3"/>
    </row>
    <row r="499">
      <c r="A499" s="12"/>
      <c r="C499" s="12"/>
      <c r="D499" s="3"/>
    </row>
    <row r="500">
      <c r="A500" s="12"/>
      <c r="C500" s="12"/>
      <c r="D500" s="3"/>
    </row>
    <row r="501">
      <c r="A501" s="12"/>
      <c r="C501" s="12"/>
      <c r="D501" s="3"/>
    </row>
    <row r="502">
      <c r="A502" s="12"/>
      <c r="C502" s="12"/>
      <c r="D502" s="3"/>
    </row>
    <row r="503">
      <c r="A503" s="12"/>
      <c r="C503" s="12"/>
      <c r="D503" s="3"/>
    </row>
    <row r="504">
      <c r="A504" s="12"/>
      <c r="C504" s="12"/>
      <c r="D504" s="3"/>
    </row>
    <row r="505">
      <c r="A505" s="12"/>
      <c r="C505" s="12"/>
      <c r="D505" s="3"/>
    </row>
    <row r="506">
      <c r="A506" s="12"/>
      <c r="C506" s="12"/>
      <c r="D506" s="3"/>
    </row>
    <row r="507">
      <c r="A507" s="12"/>
      <c r="C507" s="12"/>
      <c r="D507" s="3"/>
    </row>
    <row r="508">
      <c r="A508" s="12"/>
      <c r="C508" s="12"/>
      <c r="D508" s="3"/>
    </row>
    <row r="509">
      <c r="A509" s="12"/>
      <c r="C509" s="12"/>
      <c r="D509" s="3"/>
    </row>
    <row r="510">
      <c r="A510" s="12"/>
      <c r="C510" s="12"/>
      <c r="D510" s="3"/>
    </row>
    <row r="511">
      <c r="A511" s="12"/>
      <c r="C511" s="12"/>
      <c r="D511" s="3"/>
    </row>
    <row r="512">
      <c r="A512" s="12"/>
      <c r="C512" s="12"/>
      <c r="D512" s="3"/>
    </row>
    <row r="513">
      <c r="A513" s="12"/>
      <c r="C513" s="12"/>
      <c r="D513" s="3"/>
    </row>
    <row r="514">
      <c r="A514" s="12"/>
      <c r="C514" s="12"/>
      <c r="D514" s="3"/>
    </row>
    <row r="515">
      <c r="A515" s="12"/>
      <c r="C515" s="12"/>
      <c r="D515" s="3"/>
    </row>
    <row r="516">
      <c r="A516" s="12"/>
      <c r="C516" s="12"/>
      <c r="D516" s="3"/>
    </row>
    <row r="517">
      <c r="A517" s="12"/>
      <c r="C517" s="12"/>
      <c r="D517" s="3"/>
    </row>
    <row r="518">
      <c r="A518" s="12"/>
      <c r="C518" s="12"/>
      <c r="D518" s="3"/>
    </row>
    <row r="519">
      <c r="A519" s="12"/>
      <c r="C519" s="12"/>
      <c r="D519" s="3"/>
    </row>
    <row r="520">
      <c r="A520" s="12"/>
      <c r="C520" s="12"/>
      <c r="D520" s="3"/>
    </row>
    <row r="521">
      <c r="A521" s="12"/>
      <c r="C521" s="12"/>
      <c r="D521" s="3"/>
    </row>
    <row r="522">
      <c r="A522" s="12"/>
      <c r="C522" s="12"/>
      <c r="D522" s="3"/>
    </row>
    <row r="523">
      <c r="A523" s="12"/>
      <c r="C523" s="12"/>
      <c r="D523" s="3"/>
    </row>
    <row r="524">
      <c r="A524" s="12"/>
      <c r="C524" s="12"/>
      <c r="D524" s="3"/>
    </row>
    <row r="525">
      <c r="A525" s="12"/>
      <c r="C525" s="12"/>
      <c r="D525" s="3"/>
    </row>
    <row r="526">
      <c r="A526" s="12"/>
      <c r="C526" s="12"/>
      <c r="D526" s="3"/>
    </row>
    <row r="527">
      <c r="A527" s="12"/>
      <c r="C527" s="12"/>
      <c r="D527" s="3"/>
    </row>
    <row r="528">
      <c r="A528" s="12"/>
      <c r="C528" s="12"/>
      <c r="D528" s="3"/>
    </row>
    <row r="529">
      <c r="A529" s="12"/>
      <c r="C529" s="12"/>
      <c r="D529" s="3"/>
    </row>
    <row r="530">
      <c r="A530" s="12"/>
      <c r="C530" s="12"/>
      <c r="D530" s="3"/>
    </row>
    <row r="531">
      <c r="A531" s="12"/>
      <c r="C531" s="12"/>
      <c r="D531" s="3"/>
    </row>
    <row r="532">
      <c r="A532" s="12"/>
      <c r="C532" s="12"/>
      <c r="D532" s="3"/>
    </row>
    <row r="533">
      <c r="A533" s="12"/>
      <c r="C533" s="12"/>
      <c r="D533" s="3"/>
    </row>
    <row r="534">
      <c r="A534" s="12"/>
      <c r="C534" s="12"/>
      <c r="D534" s="3"/>
    </row>
    <row r="535">
      <c r="A535" s="12"/>
      <c r="C535" s="12"/>
      <c r="D535" s="3"/>
    </row>
    <row r="536">
      <c r="A536" s="12"/>
      <c r="C536" s="12"/>
      <c r="D536" s="3"/>
    </row>
    <row r="537">
      <c r="A537" s="12"/>
      <c r="C537" s="12"/>
      <c r="D537" s="3"/>
    </row>
    <row r="538">
      <c r="A538" s="12"/>
      <c r="C538" s="12"/>
      <c r="D538" s="3"/>
    </row>
    <row r="539">
      <c r="A539" s="12"/>
      <c r="C539" s="12"/>
      <c r="D539" s="3"/>
    </row>
    <row r="540">
      <c r="A540" s="12"/>
      <c r="C540" s="12"/>
      <c r="D540" s="3"/>
    </row>
    <row r="541">
      <c r="A541" s="12"/>
      <c r="C541" s="12"/>
      <c r="D541" s="3"/>
    </row>
    <row r="542">
      <c r="A542" s="12"/>
      <c r="C542" s="12"/>
      <c r="D542" s="3"/>
    </row>
    <row r="543">
      <c r="A543" s="12"/>
      <c r="C543" s="12"/>
      <c r="D543" s="3"/>
    </row>
    <row r="544">
      <c r="A544" s="12"/>
      <c r="C544" s="12"/>
      <c r="D544" s="3"/>
    </row>
    <row r="545">
      <c r="A545" s="12"/>
      <c r="C545" s="12"/>
      <c r="D545" s="3"/>
    </row>
    <row r="546">
      <c r="A546" s="12"/>
      <c r="C546" s="12"/>
      <c r="D546" s="3"/>
    </row>
    <row r="547">
      <c r="A547" s="12"/>
      <c r="C547" s="12"/>
      <c r="D547" s="3"/>
    </row>
    <row r="548">
      <c r="A548" s="12"/>
      <c r="C548" s="12"/>
      <c r="D548" s="3"/>
    </row>
    <row r="549">
      <c r="A549" s="12"/>
      <c r="C549" s="12"/>
      <c r="D549" s="3"/>
    </row>
    <row r="550">
      <c r="A550" s="12"/>
      <c r="C550" s="12"/>
      <c r="D550" s="3"/>
    </row>
    <row r="551">
      <c r="A551" s="12"/>
      <c r="C551" s="12"/>
      <c r="D551" s="3"/>
    </row>
    <row r="552">
      <c r="A552" s="12"/>
      <c r="C552" s="12"/>
      <c r="D552" s="3"/>
    </row>
    <row r="553">
      <c r="A553" s="12"/>
      <c r="C553" s="12"/>
      <c r="D553" s="3"/>
    </row>
    <row r="554">
      <c r="A554" s="12"/>
      <c r="C554" s="12"/>
      <c r="D554" s="3"/>
    </row>
    <row r="555">
      <c r="A555" s="12"/>
      <c r="C555" s="12"/>
      <c r="D555" s="3"/>
    </row>
    <row r="556">
      <c r="A556" s="12"/>
      <c r="C556" s="12"/>
      <c r="D556" s="3"/>
    </row>
    <row r="557">
      <c r="A557" s="12"/>
      <c r="C557" s="12"/>
      <c r="D557" s="3"/>
    </row>
    <row r="558">
      <c r="A558" s="12"/>
      <c r="C558" s="12"/>
      <c r="D558" s="3"/>
    </row>
    <row r="559">
      <c r="A559" s="12"/>
      <c r="C559" s="12"/>
      <c r="D559" s="3"/>
    </row>
    <row r="560">
      <c r="A560" s="12"/>
      <c r="C560" s="12"/>
      <c r="D560" s="3"/>
    </row>
    <row r="561">
      <c r="A561" s="12"/>
      <c r="C561" s="12"/>
      <c r="D561" s="3"/>
    </row>
    <row r="562">
      <c r="A562" s="12"/>
      <c r="C562" s="12"/>
      <c r="D562" s="3"/>
    </row>
    <row r="563">
      <c r="A563" s="12"/>
      <c r="C563" s="12"/>
      <c r="D563" s="3"/>
    </row>
    <row r="564">
      <c r="A564" s="12"/>
      <c r="C564" s="12"/>
      <c r="D564" s="3"/>
    </row>
    <row r="565">
      <c r="A565" s="12"/>
      <c r="C565" s="12"/>
      <c r="D565" s="3"/>
    </row>
    <row r="566">
      <c r="A566" s="12"/>
      <c r="C566" s="12"/>
      <c r="D566" s="3"/>
    </row>
    <row r="567">
      <c r="A567" s="12"/>
      <c r="C567" s="12"/>
      <c r="D567" s="3"/>
    </row>
    <row r="568">
      <c r="A568" s="12"/>
      <c r="C568" s="12"/>
      <c r="D568" s="3"/>
    </row>
    <row r="569">
      <c r="A569" s="12"/>
      <c r="C569" s="12"/>
      <c r="D569" s="3"/>
    </row>
    <row r="570">
      <c r="A570" s="12"/>
      <c r="C570" s="12"/>
      <c r="D570" s="3"/>
    </row>
    <row r="571">
      <c r="A571" s="12"/>
      <c r="C571" s="12"/>
      <c r="D571" s="3"/>
    </row>
    <row r="572">
      <c r="A572" s="12"/>
      <c r="C572" s="12"/>
      <c r="D572" s="3"/>
    </row>
    <row r="573">
      <c r="A573" s="12"/>
      <c r="C573" s="12"/>
      <c r="D573" s="3"/>
    </row>
    <row r="574">
      <c r="A574" s="12"/>
      <c r="C574" s="12"/>
      <c r="D574" s="3"/>
    </row>
    <row r="575">
      <c r="A575" s="12"/>
      <c r="C575" s="12"/>
      <c r="D575" s="3"/>
    </row>
    <row r="576">
      <c r="A576" s="12"/>
      <c r="C576" s="12"/>
      <c r="D576" s="3"/>
    </row>
    <row r="577">
      <c r="A577" s="12"/>
      <c r="C577" s="12"/>
      <c r="D577" s="3"/>
    </row>
    <row r="578">
      <c r="A578" s="12"/>
      <c r="C578" s="12"/>
      <c r="D578" s="3"/>
    </row>
    <row r="579">
      <c r="A579" s="12"/>
      <c r="C579" s="12"/>
      <c r="D579" s="3"/>
    </row>
    <row r="580">
      <c r="A580" s="12"/>
      <c r="C580" s="12"/>
      <c r="D580" s="3"/>
    </row>
    <row r="581">
      <c r="A581" s="12"/>
      <c r="C581" s="12"/>
      <c r="D581" s="3"/>
    </row>
    <row r="582">
      <c r="A582" s="12"/>
      <c r="C582" s="12"/>
      <c r="D582" s="3"/>
    </row>
    <row r="583">
      <c r="A583" s="12"/>
      <c r="C583" s="12"/>
      <c r="D583" s="3"/>
    </row>
    <row r="584">
      <c r="A584" s="12"/>
      <c r="C584" s="12"/>
      <c r="D584" s="3"/>
    </row>
    <row r="585">
      <c r="A585" s="12"/>
      <c r="C585" s="12"/>
      <c r="D585" s="3"/>
    </row>
    <row r="586">
      <c r="A586" s="12"/>
      <c r="C586" s="12"/>
      <c r="D586" s="3"/>
    </row>
    <row r="587">
      <c r="A587" s="12"/>
      <c r="C587" s="12"/>
      <c r="D587" s="3"/>
    </row>
    <row r="588">
      <c r="A588" s="12"/>
      <c r="C588" s="12"/>
      <c r="D588" s="3"/>
    </row>
    <row r="589">
      <c r="A589" s="12"/>
      <c r="C589" s="12"/>
      <c r="D589" s="3"/>
    </row>
    <row r="590">
      <c r="A590" s="12"/>
      <c r="C590" s="12"/>
      <c r="D590" s="3"/>
    </row>
    <row r="591">
      <c r="A591" s="12"/>
      <c r="C591" s="12"/>
      <c r="D591" s="3"/>
    </row>
    <row r="592">
      <c r="A592" s="12"/>
      <c r="C592" s="12"/>
      <c r="D592" s="3"/>
    </row>
    <row r="593">
      <c r="A593" s="12"/>
      <c r="C593" s="12"/>
      <c r="D593" s="3"/>
    </row>
    <row r="594">
      <c r="A594" s="12"/>
      <c r="C594" s="12"/>
      <c r="D594" s="3"/>
    </row>
    <row r="595">
      <c r="A595" s="12"/>
      <c r="C595" s="12"/>
      <c r="D595" s="3"/>
    </row>
    <row r="596">
      <c r="A596" s="12"/>
      <c r="C596" s="12"/>
      <c r="D596" s="3"/>
    </row>
    <row r="597">
      <c r="A597" s="12"/>
      <c r="C597" s="12"/>
      <c r="D597" s="3"/>
    </row>
    <row r="598">
      <c r="A598" s="12"/>
      <c r="C598" s="12"/>
      <c r="D598" s="3"/>
    </row>
    <row r="599">
      <c r="A599" s="12"/>
      <c r="C599" s="12"/>
      <c r="D599" s="3"/>
    </row>
    <row r="600">
      <c r="A600" s="12"/>
      <c r="C600" s="12"/>
      <c r="D600" s="3"/>
    </row>
    <row r="601">
      <c r="A601" s="12"/>
      <c r="C601" s="12"/>
      <c r="D601" s="3"/>
    </row>
    <row r="602">
      <c r="A602" s="12"/>
      <c r="C602" s="12"/>
      <c r="D602" s="3"/>
    </row>
    <row r="603">
      <c r="A603" s="12"/>
      <c r="C603" s="12"/>
      <c r="D603" s="3"/>
    </row>
    <row r="604">
      <c r="A604" s="12"/>
      <c r="C604" s="12"/>
      <c r="D604" s="3"/>
    </row>
    <row r="605">
      <c r="A605" s="12"/>
      <c r="C605" s="12"/>
      <c r="D605" s="3"/>
    </row>
    <row r="606">
      <c r="A606" s="12"/>
      <c r="C606" s="12"/>
      <c r="D606" s="3"/>
    </row>
    <row r="607">
      <c r="A607" s="12"/>
      <c r="C607" s="12"/>
      <c r="D607" s="3"/>
    </row>
    <row r="608">
      <c r="A608" s="12"/>
      <c r="C608" s="12"/>
      <c r="D608" s="3"/>
    </row>
    <row r="609">
      <c r="A609" s="12"/>
      <c r="C609" s="12"/>
      <c r="D609" s="3"/>
    </row>
    <row r="610">
      <c r="A610" s="12"/>
      <c r="C610" s="12"/>
      <c r="D610" s="3"/>
    </row>
    <row r="611">
      <c r="A611" s="12"/>
      <c r="C611" s="12"/>
      <c r="D611" s="3"/>
    </row>
    <row r="612">
      <c r="A612" s="12"/>
      <c r="C612" s="12"/>
      <c r="D612" s="3"/>
    </row>
    <row r="613">
      <c r="A613" s="12"/>
      <c r="C613" s="12"/>
      <c r="D613" s="3"/>
    </row>
    <row r="614">
      <c r="A614" s="12"/>
      <c r="C614" s="12"/>
      <c r="D614" s="3"/>
    </row>
    <row r="615">
      <c r="A615" s="12"/>
      <c r="C615" s="12"/>
      <c r="D615" s="3"/>
    </row>
    <row r="616">
      <c r="A616" s="12"/>
      <c r="C616" s="12"/>
      <c r="D616" s="3"/>
    </row>
    <row r="617">
      <c r="A617" s="12"/>
      <c r="C617" s="12"/>
      <c r="D617" s="3"/>
    </row>
    <row r="618">
      <c r="A618" s="12"/>
      <c r="C618" s="12"/>
      <c r="D618" s="3"/>
    </row>
    <row r="619">
      <c r="A619" s="12"/>
      <c r="C619" s="12"/>
      <c r="D619" s="3"/>
    </row>
    <row r="620">
      <c r="A620" s="12"/>
      <c r="C620" s="12"/>
      <c r="D620" s="3"/>
    </row>
    <row r="621">
      <c r="A621" s="12"/>
      <c r="C621" s="12"/>
      <c r="D621" s="3"/>
    </row>
    <row r="622">
      <c r="A622" s="12"/>
      <c r="C622" s="12"/>
      <c r="D622" s="3"/>
    </row>
    <row r="623">
      <c r="A623" s="12"/>
      <c r="C623" s="12"/>
      <c r="D623" s="3"/>
    </row>
    <row r="624">
      <c r="A624" s="12"/>
      <c r="C624" s="12"/>
      <c r="D624" s="3"/>
    </row>
    <row r="625">
      <c r="A625" s="12"/>
      <c r="C625" s="12"/>
      <c r="D625" s="3"/>
    </row>
    <row r="626">
      <c r="A626" s="12"/>
      <c r="C626" s="12"/>
      <c r="D626" s="3"/>
    </row>
    <row r="627">
      <c r="A627" s="12"/>
      <c r="C627" s="12"/>
      <c r="D627" s="3"/>
    </row>
    <row r="628">
      <c r="A628" s="12"/>
      <c r="C628" s="12"/>
      <c r="D628" s="3"/>
    </row>
    <row r="629">
      <c r="A629" s="12"/>
      <c r="C629" s="12"/>
      <c r="D629" s="3"/>
    </row>
    <row r="630">
      <c r="A630" s="12"/>
      <c r="C630" s="12"/>
      <c r="D630" s="3"/>
    </row>
    <row r="631">
      <c r="A631" s="12"/>
      <c r="C631" s="12"/>
      <c r="D631" s="3"/>
    </row>
    <row r="632">
      <c r="A632" s="12"/>
      <c r="C632" s="12"/>
      <c r="D632" s="3"/>
    </row>
    <row r="633">
      <c r="A633" s="12"/>
      <c r="C633" s="12"/>
      <c r="D633" s="3"/>
    </row>
    <row r="634">
      <c r="A634" s="12"/>
      <c r="C634" s="12"/>
      <c r="D634" s="3"/>
    </row>
    <row r="635">
      <c r="A635" s="12"/>
      <c r="C635" s="12"/>
      <c r="D635" s="3"/>
    </row>
    <row r="636">
      <c r="A636" s="12"/>
      <c r="C636" s="12"/>
      <c r="D636" s="3"/>
    </row>
    <row r="637">
      <c r="A637" s="12"/>
      <c r="C637" s="12"/>
      <c r="D637" s="3"/>
    </row>
    <row r="638">
      <c r="A638" s="12"/>
      <c r="C638" s="12"/>
      <c r="D638" s="3"/>
    </row>
    <row r="639">
      <c r="A639" s="12"/>
      <c r="C639" s="12"/>
      <c r="D639" s="3"/>
    </row>
    <row r="640">
      <c r="A640" s="12"/>
      <c r="C640" s="12"/>
      <c r="D640" s="3"/>
    </row>
    <row r="641">
      <c r="A641" s="12"/>
      <c r="C641" s="12"/>
      <c r="D641" s="3"/>
    </row>
    <row r="642">
      <c r="A642" s="12"/>
      <c r="C642" s="12"/>
      <c r="D642" s="3"/>
    </row>
    <row r="643">
      <c r="A643" s="12"/>
      <c r="C643" s="12"/>
      <c r="D643" s="3"/>
    </row>
    <row r="644">
      <c r="A644" s="12"/>
      <c r="C644" s="12"/>
      <c r="D644" s="3"/>
    </row>
    <row r="645">
      <c r="A645" s="12"/>
      <c r="C645" s="12"/>
      <c r="D645" s="3"/>
    </row>
    <row r="646">
      <c r="A646" s="12"/>
      <c r="C646" s="12"/>
      <c r="D646" s="3"/>
    </row>
    <row r="647">
      <c r="A647" s="12"/>
      <c r="C647" s="12"/>
      <c r="D647" s="3"/>
    </row>
    <row r="648">
      <c r="A648" s="12"/>
      <c r="C648" s="12"/>
      <c r="D648" s="3"/>
    </row>
    <row r="649">
      <c r="A649" s="12"/>
      <c r="C649" s="12"/>
      <c r="D649" s="3"/>
    </row>
    <row r="650">
      <c r="A650" s="12"/>
      <c r="C650" s="12"/>
      <c r="D650" s="3"/>
    </row>
    <row r="651">
      <c r="A651" s="12"/>
      <c r="C651" s="12"/>
      <c r="D651" s="3"/>
    </row>
    <row r="652">
      <c r="A652" s="12"/>
      <c r="C652" s="12"/>
      <c r="D652" s="3"/>
    </row>
    <row r="653">
      <c r="A653" s="12"/>
      <c r="C653" s="12"/>
      <c r="D653" s="3"/>
    </row>
    <row r="654">
      <c r="A654" s="12"/>
      <c r="C654" s="12"/>
      <c r="D654" s="3"/>
    </row>
    <row r="655">
      <c r="A655" s="12"/>
      <c r="C655" s="12"/>
      <c r="D655" s="3"/>
    </row>
    <row r="656">
      <c r="A656" s="12"/>
      <c r="C656" s="12"/>
      <c r="D656" s="3"/>
    </row>
    <row r="657">
      <c r="A657" s="12"/>
      <c r="C657" s="12"/>
      <c r="D657" s="3"/>
    </row>
    <row r="658">
      <c r="A658" s="12"/>
      <c r="C658" s="12"/>
      <c r="D658" s="3"/>
    </row>
    <row r="659">
      <c r="A659" s="12"/>
      <c r="C659" s="12"/>
      <c r="D659" s="3"/>
    </row>
    <row r="660">
      <c r="A660" s="12"/>
      <c r="C660" s="12"/>
      <c r="D660" s="3"/>
    </row>
    <row r="661">
      <c r="A661" s="12"/>
      <c r="C661" s="12"/>
      <c r="D661" s="3"/>
    </row>
    <row r="662">
      <c r="A662" s="12"/>
      <c r="C662" s="12"/>
      <c r="D662" s="3"/>
    </row>
    <row r="663">
      <c r="A663" s="12"/>
      <c r="C663" s="12"/>
      <c r="D663" s="3"/>
    </row>
    <row r="664">
      <c r="A664" s="12"/>
      <c r="C664" s="12"/>
      <c r="D664" s="3"/>
    </row>
    <row r="665">
      <c r="A665" s="12"/>
      <c r="C665" s="12"/>
      <c r="D665" s="3"/>
    </row>
    <row r="666">
      <c r="A666" s="12"/>
      <c r="C666" s="12"/>
      <c r="D666" s="3"/>
    </row>
    <row r="667">
      <c r="A667" s="12"/>
      <c r="C667" s="12"/>
      <c r="D667" s="3"/>
    </row>
    <row r="668">
      <c r="A668" s="12"/>
      <c r="C668" s="12"/>
      <c r="D668" s="3"/>
    </row>
    <row r="669">
      <c r="A669" s="12"/>
      <c r="C669" s="12"/>
      <c r="D669" s="3"/>
    </row>
    <row r="670">
      <c r="A670" s="12"/>
      <c r="C670" s="12"/>
      <c r="D670" s="3"/>
    </row>
    <row r="671">
      <c r="A671" s="12"/>
      <c r="C671" s="12"/>
      <c r="D671" s="3"/>
    </row>
    <row r="672">
      <c r="A672" s="12"/>
      <c r="C672" s="12"/>
      <c r="D672" s="3"/>
    </row>
    <row r="673">
      <c r="A673" s="12"/>
      <c r="C673" s="12"/>
      <c r="D673" s="3"/>
    </row>
    <row r="674">
      <c r="A674" s="12"/>
      <c r="C674" s="12"/>
      <c r="D674" s="3"/>
    </row>
    <row r="675">
      <c r="A675" s="12"/>
      <c r="C675" s="12"/>
      <c r="D675" s="3"/>
    </row>
    <row r="676">
      <c r="A676" s="12"/>
      <c r="C676" s="12"/>
      <c r="D676" s="3"/>
    </row>
    <row r="677">
      <c r="A677" s="12"/>
      <c r="C677" s="12"/>
      <c r="D677" s="3"/>
    </row>
    <row r="678">
      <c r="A678" s="12"/>
      <c r="C678" s="12"/>
      <c r="D678" s="3"/>
    </row>
    <row r="679">
      <c r="A679" s="12"/>
      <c r="C679" s="12"/>
      <c r="D679" s="3"/>
    </row>
    <row r="680">
      <c r="A680" s="12"/>
      <c r="C680" s="12"/>
      <c r="D680" s="3"/>
    </row>
    <row r="681">
      <c r="A681" s="12"/>
      <c r="C681" s="12"/>
      <c r="D681" s="3"/>
    </row>
    <row r="682">
      <c r="A682" s="12"/>
      <c r="C682" s="12"/>
      <c r="D682" s="3"/>
    </row>
    <row r="683">
      <c r="A683" s="12"/>
      <c r="C683" s="12"/>
      <c r="D683" s="3"/>
    </row>
    <row r="684">
      <c r="A684" s="12"/>
      <c r="C684" s="12"/>
      <c r="D684" s="3"/>
    </row>
    <row r="685">
      <c r="A685" s="12"/>
      <c r="C685" s="12"/>
      <c r="D685" s="3"/>
    </row>
    <row r="686">
      <c r="A686" s="12"/>
      <c r="C686" s="12"/>
      <c r="D686" s="3"/>
    </row>
    <row r="687">
      <c r="A687" s="12"/>
      <c r="C687" s="12"/>
      <c r="D687" s="3"/>
    </row>
    <row r="688">
      <c r="A688" s="12"/>
      <c r="C688" s="12"/>
      <c r="D688" s="3"/>
    </row>
    <row r="689">
      <c r="A689" s="12"/>
      <c r="C689" s="12"/>
      <c r="D689" s="3"/>
    </row>
    <row r="690">
      <c r="A690" s="12"/>
      <c r="C690" s="12"/>
      <c r="D690" s="3"/>
    </row>
    <row r="691">
      <c r="A691" s="12"/>
      <c r="C691" s="12"/>
      <c r="D691" s="3"/>
    </row>
    <row r="692">
      <c r="A692" s="12"/>
      <c r="C692" s="12"/>
      <c r="D692" s="3"/>
    </row>
    <row r="693">
      <c r="A693" s="12"/>
      <c r="C693" s="12"/>
      <c r="D693" s="3"/>
    </row>
    <row r="694">
      <c r="A694" s="12"/>
      <c r="C694" s="12"/>
      <c r="D694" s="3"/>
    </row>
    <row r="695">
      <c r="A695" s="12"/>
      <c r="C695" s="12"/>
      <c r="D695" s="3"/>
    </row>
    <row r="696">
      <c r="A696" s="12"/>
      <c r="C696" s="12"/>
      <c r="D696" s="3"/>
    </row>
    <row r="697">
      <c r="A697" s="12"/>
      <c r="C697" s="12"/>
      <c r="D697" s="3"/>
    </row>
    <row r="698">
      <c r="A698" s="12"/>
      <c r="C698" s="12"/>
      <c r="D698" s="3"/>
    </row>
    <row r="699">
      <c r="A699" s="12"/>
      <c r="C699" s="12"/>
      <c r="D699" s="3"/>
    </row>
    <row r="700">
      <c r="A700" s="12"/>
      <c r="C700" s="12"/>
      <c r="D700" s="3"/>
    </row>
    <row r="701">
      <c r="A701" s="12"/>
      <c r="C701" s="12"/>
      <c r="D701" s="3"/>
    </row>
    <row r="702">
      <c r="A702" s="12"/>
      <c r="C702" s="12"/>
      <c r="D702" s="3"/>
    </row>
    <row r="703">
      <c r="A703" s="12"/>
      <c r="C703" s="12"/>
      <c r="D703" s="3"/>
    </row>
    <row r="704">
      <c r="A704" s="12"/>
      <c r="C704" s="12"/>
      <c r="D704" s="3"/>
    </row>
    <row r="705">
      <c r="A705" s="12"/>
      <c r="C705" s="12"/>
      <c r="D705" s="3"/>
    </row>
    <row r="706">
      <c r="A706" s="12"/>
      <c r="C706" s="12"/>
      <c r="D706" s="3"/>
    </row>
    <row r="707">
      <c r="A707" s="12"/>
      <c r="C707" s="12"/>
      <c r="D707" s="3"/>
    </row>
    <row r="708">
      <c r="A708" s="12"/>
      <c r="C708" s="12"/>
      <c r="D708" s="3"/>
    </row>
    <row r="709">
      <c r="A709" s="12"/>
      <c r="C709" s="12"/>
      <c r="D709" s="3"/>
    </row>
    <row r="710">
      <c r="A710" s="12"/>
      <c r="C710" s="12"/>
      <c r="D710" s="3"/>
    </row>
    <row r="711">
      <c r="A711" s="12"/>
      <c r="C711" s="12"/>
      <c r="D711" s="3"/>
    </row>
    <row r="712">
      <c r="A712" s="12"/>
      <c r="C712" s="12"/>
      <c r="D712" s="3"/>
    </row>
    <row r="713">
      <c r="A713" s="12"/>
      <c r="C713" s="12"/>
      <c r="D713" s="3"/>
    </row>
    <row r="714">
      <c r="A714" s="12"/>
      <c r="C714" s="12"/>
      <c r="D714" s="3"/>
    </row>
    <row r="715">
      <c r="A715" s="12"/>
      <c r="C715" s="12"/>
      <c r="D715" s="3"/>
    </row>
    <row r="716">
      <c r="A716" s="12"/>
      <c r="C716" s="12"/>
      <c r="D716" s="3"/>
    </row>
    <row r="717">
      <c r="A717" s="12"/>
      <c r="C717" s="12"/>
      <c r="D717" s="3"/>
    </row>
    <row r="718">
      <c r="A718" s="12"/>
      <c r="C718" s="12"/>
      <c r="D718" s="3"/>
    </row>
    <row r="719">
      <c r="A719" s="12"/>
      <c r="C719" s="12"/>
      <c r="D719" s="3"/>
    </row>
    <row r="720">
      <c r="A720" s="12"/>
      <c r="C720" s="12"/>
      <c r="D720" s="3"/>
    </row>
    <row r="721">
      <c r="A721" s="12"/>
      <c r="C721" s="12"/>
      <c r="D721" s="3"/>
    </row>
    <row r="722">
      <c r="A722" s="12"/>
      <c r="C722" s="12"/>
      <c r="D722" s="3"/>
    </row>
    <row r="723">
      <c r="A723" s="12"/>
      <c r="C723" s="12"/>
      <c r="D723" s="3"/>
    </row>
    <row r="724">
      <c r="A724" s="12"/>
      <c r="C724" s="12"/>
      <c r="D724" s="3"/>
    </row>
    <row r="725">
      <c r="A725" s="12"/>
      <c r="C725" s="12"/>
      <c r="D725" s="3"/>
    </row>
    <row r="726">
      <c r="A726" s="12"/>
      <c r="C726" s="12"/>
      <c r="D726" s="3"/>
    </row>
    <row r="727">
      <c r="A727" s="12"/>
      <c r="C727" s="12"/>
      <c r="D727" s="3"/>
    </row>
    <row r="728">
      <c r="A728" s="12"/>
      <c r="C728" s="12"/>
      <c r="D728" s="3"/>
    </row>
    <row r="729">
      <c r="A729" s="12"/>
      <c r="C729" s="12"/>
      <c r="D729" s="3"/>
    </row>
    <row r="730">
      <c r="A730" s="12"/>
      <c r="C730" s="12"/>
      <c r="D730" s="3"/>
    </row>
    <row r="731">
      <c r="A731" s="12"/>
      <c r="C731" s="12"/>
      <c r="D731" s="3"/>
    </row>
    <row r="732">
      <c r="A732" s="12"/>
      <c r="C732" s="12"/>
      <c r="D732" s="3"/>
    </row>
    <row r="733">
      <c r="A733" s="12"/>
      <c r="C733" s="12"/>
      <c r="D733" s="3"/>
    </row>
    <row r="734">
      <c r="A734" s="12"/>
      <c r="C734" s="12"/>
      <c r="D734" s="3"/>
    </row>
    <row r="735">
      <c r="A735" s="12"/>
      <c r="C735" s="12"/>
      <c r="D735" s="3"/>
    </row>
    <row r="736">
      <c r="A736" s="12"/>
      <c r="C736" s="12"/>
      <c r="D736" s="3"/>
    </row>
    <row r="737">
      <c r="A737" s="12"/>
      <c r="C737" s="12"/>
      <c r="D737" s="3"/>
    </row>
    <row r="738">
      <c r="A738" s="12"/>
      <c r="C738" s="12"/>
      <c r="D738" s="3"/>
    </row>
    <row r="739">
      <c r="A739" s="12"/>
      <c r="C739" s="12"/>
      <c r="D739" s="3"/>
    </row>
    <row r="740">
      <c r="A740" s="12"/>
      <c r="C740" s="12"/>
      <c r="D740" s="3"/>
    </row>
    <row r="741">
      <c r="A741" s="12"/>
      <c r="C741" s="12"/>
      <c r="D741" s="3"/>
    </row>
    <row r="742">
      <c r="A742" s="12"/>
      <c r="C742" s="12"/>
      <c r="D742" s="3"/>
    </row>
    <row r="743">
      <c r="A743" s="12"/>
      <c r="C743" s="12"/>
      <c r="D743" s="3"/>
    </row>
    <row r="744">
      <c r="A744" s="12"/>
      <c r="C744" s="12"/>
      <c r="D744" s="3"/>
    </row>
    <row r="745">
      <c r="A745" s="12"/>
      <c r="C745" s="12"/>
      <c r="D745" s="3"/>
    </row>
    <row r="746">
      <c r="A746" s="12"/>
      <c r="C746" s="12"/>
      <c r="D746" s="3"/>
    </row>
    <row r="747">
      <c r="A747" s="12"/>
      <c r="C747" s="12"/>
      <c r="D747" s="3"/>
    </row>
    <row r="748">
      <c r="A748" s="12"/>
      <c r="C748" s="12"/>
      <c r="D748" s="3"/>
    </row>
    <row r="749">
      <c r="A749" s="12"/>
      <c r="C749" s="12"/>
      <c r="D749" s="3"/>
    </row>
    <row r="750">
      <c r="A750" s="12"/>
      <c r="C750" s="12"/>
      <c r="D750" s="3"/>
    </row>
    <row r="751">
      <c r="A751" s="12"/>
      <c r="C751" s="12"/>
      <c r="D751" s="3"/>
    </row>
    <row r="752">
      <c r="A752" s="12"/>
      <c r="C752" s="12"/>
      <c r="D752" s="3"/>
    </row>
    <row r="753">
      <c r="A753" s="12"/>
      <c r="C753" s="12"/>
      <c r="D753" s="3"/>
    </row>
    <row r="754">
      <c r="A754" s="12"/>
      <c r="C754" s="12"/>
      <c r="D754" s="3"/>
    </row>
    <row r="755">
      <c r="A755" s="12"/>
      <c r="C755" s="12"/>
      <c r="D755" s="3"/>
    </row>
    <row r="756">
      <c r="A756" s="12"/>
      <c r="C756" s="12"/>
      <c r="D756" s="3"/>
    </row>
    <row r="757">
      <c r="A757" s="12"/>
      <c r="C757" s="12"/>
      <c r="D757" s="3"/>
    </row>
    <row r="758">
      <c r="A758" s="12"/>
      <c r="C758" s="12"/>
      <c r="D758" s="3"/>
    </row>
    <row r="759">
      <c r="A759" s="12"/>
      <c r="C759" s="12"/>
      <c r="D759" s="3"/>
    </row>
    <row r="760">
      <c r="A760" s="12"/>
      <c r="C760" s="12"/>
      <c r="D760" s="3"/>
    </row>
    <row r="761">
      <c r="A761" s="12"/>
      <c r="C761" s="12"/>
      <c r="D761" s="3"/>
    </row>
    <row r="762">
      <c r="A762" s="12"/>
      <c r="C762" s="12"/>
      <c r="D762" s="3"/>
    </row>
    <row r="763">
      <c r="A763" s="12"/>
      <c r="C763" s="12"/>
      <c r="D763" s="3"/>
    </row>
    <row r="764">
      <c r="A764" s="12"/>
      <c r="C764" s="12"/>
      <c r="D764" s="3"/>
    </row>
    <row r="765">
      <c r="A765" s="12"/>
      <c r="C765" s="12"/>
      <c r="D765" s="3"/>
    </row>
    <row r="766">
      <c r="A766" s="12"/>
      <c r="C766" s="12"/>
      <c r="D766" s="3"/>
    </row>
    <row r="767">
      <c r="A767" s="12"/>
      <c r="C767" s="12"/>
      <c r="D767" s="3"/>
    </row>
    <row r="768">
      <c r="A768" s="12"/>
      <c r="C768" s="12"/>
      <c r="D768" s="3"/>
    </row>
    <row r="769">
      <c r="A769" s="12"/>
      <c r="C769" s="12"/>
      <c r="D769" s="3"/>
    </row>
    <row r="770">
      <c r="A770" s="12"/>
      <c r="C770" s="12"/>
      <c r="D770" s="3"/>
    </row>
    <row r="771">
      <c r="A771" s="12"/>
      <c r="C771" s="12"/>
      <c r="D771" s="3"/>
    </row>
    <row r="772">
      <c r="A772" s="12"/>
      <c r="C772" s="12"/>
      <c r="D772" s="3"/>
    </row>
    <row r="773">
      <c r="A773" s="12"/>
      <c r="C773" s="12"/>
      <c r="D773" s="3"/>
    </row>
    <row r="774">
      <c r="A774" s="12"/>
      <c r="C774" s="12"/>
      <c r="D774" s="3"/>
    </row>
    <row r="775">
      <c r="A775" s="12"/>
      <c r="C775" s="12"/>
      <c r="D775" s="3"/>
    </row>
    <row r="776">
      <c r="A776" s="12"/>
      <c r="C776" s="12"/>
      <c r="D776" s="3"/>
    </row>
    <row r="777">
      <c r="A777" s="12"/>
      <c r="C777" s="12"/>
      <c r="D777" s="3"/>
    </row>
    <row r="778">
      <c r="A778" s="12"/>
      <c r="C778" s="12"/>
      <c r="D778" s="3"/>
    </row>
    <row r="779">
      <c r="A779" s="12"/>
      <c r="C779" s="12"/>
      <c r="D779" s="3"/>
    </row>
    <row r="780">
      <c r="A780" s="12"/>
      <c r="C780" s="12"/>
      <c r="D780" s="3"/>
    </row>
    <row r="781">
      <c r="A781" s="12"/>
      <c r="C781" s="12"/>
      <c r="D781" s="3"/>
    </row>
    <row r="782">
      <c r="A782" s="12"/>
      <c r="C782" s="12"/>
      <c r="D782" s="3"/>
    </row>
    <row r="783">
      <c r="A783" s="12"/>
      <c r="C783" s="12"/>
      <c r="D783" s="3"/>
    </row>
    <row r="784">
      <c r="A784" s="12"/>
      <c r="C784" s="12"/>
      <c r="D784" s="3"/>
    </row>
    <row r="785">
      <c r="A785" s="12"/>
      <c r="C785" s="12"/>
      <c r="D785" s="3"/>
    </row>
    <row r="786">
      <c r="A786" s="12"/>
      <c r="C786" s="12"/>
      <c r="D786" s="3"/>
    </row>
    <row r="787">
      <c r="A787" s="12"/>
      <c r="C787" s="12"/>
      <c r="D787" s="3"/>
    </row>
    <row r="788">
      <c r="A788" s="12"/>
      <c r="C788" s="12"/>
      <c r="D788" s="3"/>
    </row>
    <row r="789">
      <c r="A789" s="12"/>
      <c r="C789" s="12"/>
      <c r="D789" s="3"/>
    </row>
    <row r="790">
      <c r="A790" s="12"/>
      <c r="C790" s="12"/>
      <c r="D790" s="3"/>
    </row>
    <row r="791">
      <c r="A791" s="12"/>
      <c r="C791" s="12"/>
      <c r="D791" s="3"/>
    </row>
    <row r="792">
      <c r="A792" s="12"/>
      <c r="C792" s="12"/>
      <c r="D792" s="3"/>
    </row>
    <row r="793">
      <c r="A793" s="12"/>
      <c r="C793" s="12"/>
      <c r="D793" s="3"/>
    </row>
    <row r="794">
      <c r="A794" s="12"/>
      <c r="C794" s="12"/>
      <c r="D794" s="3"/>
    </row>
    <row r="795">
      <c r="A795" s="12"/>
      <c r="C795" s="12"/>
      <c r="D795" s="3"/>
    </row>
    <row r="796">
      <c r="A796" s="12"/>
      <c r="C796" s="12"/>
      <c r="D796" s="3"/>
    </row>
    <row r="797">
      <c r="A797" s="12"/>
      <c r="C797" s="12"/>
      <c r="D797" s="3"/>
    </row>
    <row r="798">
      <c r="A798" s="12"/>
      <c r="C798" s="12"/>
      <c r="D798" s="3"/>
    </row>
    <row r="799">
      <c r="A799" s="12"/>
      <c r="C799" s="12"/>
      <c r="D799" s="3"/>
    </row>
    <row r="800">
      <c r="A800" s="12"/>
      <c r="C800" s="12"/>
      <c r="D800" s="3"/>
    </row>
    <row r="801">
      <c r="A801" s="12"/>
      <c r="C801" s="12"/>
      <c r="D801" s="3"/>
    </row>
    <row r="802">
      <c r="A802" s="12"/>
      <c r="C802" s="12"/>
      <c r="D802" s="3"/>
    </row>
    <row r="803">
      <c r="A803" s="12"/>
      <c r="C803" s="12"/>
      <c r="D803" s="3"/>
    </row>
    <row r="804">
      <c r="A804" s="12"/>
      <c r="C804" s="12"/>
      <c r="D804" s="3"/>
    </row>
    <row r="805">
      <c r="A805" s="12"/>
      <c r="C805" s="12"/>
      <c r="D805" s="3"/>
    </row>
    <row r="806">
      <c r="A806" s="12"/>
      <c r="C806" s="12"/>
      <c r="D806" s="3"/>
    </row>
    <row r="807">
      <c r="A807" s="12"/>
      <c r="C807" s="12"/>
      <c r="D807" s="3"/>
    </row>
    <row r="808">
      <c r="A808" s="12"/>
      <c r="C808" s="12"/>
      <c r="D808" s="3"/>
    </row>
    <row r="809">
      <c r="A809" s="12"/>
      <c r="C809" s="12"/>
      <c r="D809" s="3"/>
    </row>
    <row r="810">
      <c r="A810" s="12"/>
      <c r="C810" s="12"/>
      <c r="D810" s="3"/>
    </row>
    <row r="811">
      <c r="A811" s="12"/>
      <c r="C811" s="12"/>
      <c r="D811" s="3"/>
    </row>
    <row r="812">
      <c r="A812" s="12"/>
      <c r="C812" s="12"/>
      <c r="D812" s="3"/>
    </row>
    <row r="813">
      <c r="A813" s="12"/>
      <c r="C813" s="12"/>
      <c r="D813" s="3"/>
    </row>
    <row r="814">
      <c r="A814" s="12"/>
      <c r="C814" s="12"/>
      <c r="D814" s="3"/>
    </row>
    <row r="815">
      <c r="A815" s="12"/>
      <c r="C815" s="12"/>
      <c r="D815" s="3"/>
    </row>
    <row r="816">
      <c r="A816" s="12"/>
      <c r="C816" s="12"/>
      <c r="D816" s="3"/>
    </row>
    <row r="817">
      <c r="A817" s="12"/>
      <c r="C817" s="12"/>
      <c r="D817" s="3"/>
    </row>
    <row r="818">
      <c r="A818" s="12"/>
      <c r="C818" s="12"/>
      <c r="D818" s="3"/>
    </row>
    <row r="819">
      <c r="A819" s="12"/>
      <c r="C819" s="12"/>
      <c r="D819" s="3"/>
    </row>
    <row r="820">
      <c r="A820" s="12"/>
      <c r="C820" s="12"/>
      <c r="D820" s="3"/>
    </row>
    <row r="821">
      <c r="A821" s="12"/>
      <c r="C821" s="12"/>
      <c r="D821" s="3"/>
    </row>
    <row r="822">
      <c r="A822" s="12"/>
      <c r="C822" s="12"/>
      <c r="D822" s="3"/>
    </row>
    <row r="823">
      <c r="A823" s="12"/>
      <c r="C823" s="12"/>
      <c r="D823" s="3"/>
    </row>
    <row r="824">
      <c r="A824" s="12"/>
      <c r="C824" s="12"/>
      <c r="D824" s="3"/>
    </row>
    <row r="825">
      <c r="A825" s="12"/>
      <c r="C825" s="12"/>
      <c r="D825" s="3"/>
    </row>
    <row r="826">
      <c r="A826" s="12"/>
      <c r="C826" s="12"/>
      <c r="D826" s="3"/>
    </row>
    <row r="827">
      <c r="A827" s="12"/>
      <c r="C827" s="12"/>
      <c r="D827" s="3"/>
    </row>
    <row r="828">
      <c r="A828" s="12"/>
      <c r="C828" s="12"/>
      <c r="D828" s="3"/>
    </row>
    <row r="829">
      <c r="A829" s="12"/>
      <c r="C829" s="12"/>
      <c r="D829" s="3"/>
    </row>
    <row r="830">
      <c r="A830" s="12"/>
      <c r="C830" s="12"/>
      <c r="D830" s="3"/>
    </row>
    <row r="831">
      <c r="A831" s="12"/>
      <c r="C831" s="12"/>
      <c r="D831" s="3"/>
    </row>
    <row r="832">
      <c r="A832" s="12"/>
      <c r="C832" s="12"/>
      <c r="D832" s="3"/>
    </row>
    <row r="833">
      <c r="A833" s="12"/>
      <c r="C833" s="12"/>
      <c r="D833" s="3"/>
    </row>
    <row r="834">
      <c r="A834" s="12"/>
      <c r="C834" s="12"/>
      <c r="D834" s="3"/>
    </row>
    <row r="835">
      <c r="A835" s="12"/>
      <c r="C835" s="12"/>
      <c r="D835" s="3"/>
    </row>
    <row r="836">
      <c r="A836" s="12"/>
      <c r="C836" s="12"/>
      <c r="D836" s="3"/>
    </row>
    <row r="837">
      <c r="A837" s="12"/>
      <c r="C837" s="12"/>
      <c r="D837" s="3"/>
    </row>
    <row r="838">
      <c r="A838" s="12"/>
      <c r="C838" s="12"/>
      <c r="D838" s="3"/>
    </row>
    <row r="839">
      <c r="A839" s="12"/>
      <c r="C839" s="12"/>
      <c r="D839" s="3"/>
    </row>
    <row r="840">
      <c r="A840" s="12"/>
      <c r="C840" s="12"/>
      <c r="D840" s="3"/>
    </row>
    <row r="841">
      <c r="A841" s="12"/>
      <c r="C841" s="12"/>
      <c r="D841" s="3"/>
    </row>
    <row r="842">
      <c r="A842" s="12"/>
      <c r="C842" s="12"/>
      <c r="D842" s="3"/>
    </row>
    <row r="843">
      <c r="A843" s="12"/>
      <c r="C843" s="12"/>
      <c r="D843" s="3"/>
    </row>
    <row r="844">
      <c r="A844" s="12"/>
      <c r="C844" s="12"/>
      <c r="D844" s="3"/>
    </row>
    <row r="845">
      <c r="A845" s="12"/>
      <c r="C845" s="12"/>
      <c r="D845" s="3"/>
    </row>
    <row r="846">
      <c r="A846" s="12"/>
      <c r="C846" s="12"/>
      <c r="D846" s="3"/>
    </row>
    <row r="847">
      <c r="A847" s="12"/>
      <c r="C847" s="12"/>
      <c r="D847" s="3"/>
    </row>
    <row r="848">
      <c r="A848" s="12"/>
      <c r="C848" s="12"/>
      <c r="D848" s="3"/>
    </row>
    <row r="849">
      <c r="A849" s="12"/>
      <c r="C849" s="12"/>
      <c r="D849" s="3"/>
    </row>
    <row r="850">
      <c r="A850" s="12"/>
      <c r="C850" s="12"/>
      <c r="D850" s="3"/>
    </row>
    <row r="851">
      <c r="A851" s="12"/>
      <c r="C851" s="12"/>
      <c r="D851" s="3"/>
    </row>
    <row r="852">
      <c r="A852" s="12"/>
      <c r="C852" s="12"/>
      <c r="D852" s="3"/>
    </row>
    <row r="853">
      <c r="A853" s="12"/>
      <c r="C853" s="12"/>
      <c r="D853" s="3"/>
    </row>
    <row r="854">
      <c r="A854" s="12"/>
      <c r="C854" s="12"/>
      <c r="D854" s="3"/>
    </row>
    <row r="855">
      <c r="A855" s="12"/>
      <c r="C855" s="12"/>
      <c r="D855" s="3"/>
    </row>
    <row r="856">
      <c r="A856" s="12"/>
      <c r="C856" s="12"/>
      <c r="D856" s="3"/>
    </row>
    <row r="857">
      <c r="A857" s="12"/>
      <c r="C857" s="12"/>
      <c r="D857" s="3"/>
    </row>
    <row r="858">
      <c r="A858" s="12"/>
      <c r="C858" s="12"/>
      <c r="D858" s="3"/>
    </row>
    <row r="859">
      <c r="A859" s="12"/>
      <c r="C859" s="12"/>
      <c r="D859" s="3"/>
    </row>
    <row r="860">
      <c r="A860" s="12"/>
      <c r="C860" s="12"/>
      <c r="D860" s="3"/>
    </row>
    <row r="861">
      <c r="A861" s="12"/>
      <c r="C861" s="12"/>
      <c r="D861" s="3"/>
    </row>
    <row r="862">
      <c r="A862" s="12"/>
      <c r="C862" s="12"/>
      <c r="D862" s="3"/>
    </row>
    <row r="863">
      <c r="A863" s="12"/>
      <c r="C863" s="12"/>
      <c r="D863" s="3"/>
    </row>
    <row r="864">
      <c r="A864" s="12"/>
      <c r="C864" s="12"/>
      <c r="D864" s="3"/>
    </row>
    <row r="865">
      <c r="A865" s="12"/>
      <c r="C865" s="12"/>
      <c r="D865" s="3"/>
    </row>
    <row r="866">
      <c r="A866" s="12"/>
      <c r="C866" s="12"/>
      <c r="D866" s="3"/>
    </row>
    <row r="867">
      <c r="A867" s="12"/>
      <c r="C867" s="12"/>
      <c r="D867" s="3"/>
    </row>
    <row r="868">
      <c r="A868" s="12"/>
      <c r="C868" s="12"/>
      <c r="D868" s="3"/>
    </row>
    <row r="869">
      <c r="A869" s="12"/>
      <c r="C869" s="12"/>
      <c r="D869" s="3"/>
    </row>
    <row r="870">
      <c r="A870" s="12"/>
      <c r="C870" s="12"/>
      <c r="D870" s="3"/>
    </row>
    <row r="871">
      <c r="A871" s="12"/>
      <c r="C871" s="12"/>
      <c r="D871" s="3"/>
    </row>
    <row r="872">
      <c r="A872" s="12"/>
      <c r="C872" s="12"/>
      <c r="D872" s="3"/>
    </row>
    <row r="873">
      <c r="A873" s="12"/>
      <c r="C873" s="12"/>
      <c r="D873" s="3"/>
    </row>
    <row r="874">
      <c r="A874" s="12"/>
      <c r="C874" s="12"/>
      <c r="D874" s="3"/>
    </row>
    <row r="875">
      <c r="A875" s="12"/>
      <c r="C875" s="12"/>
      <c r="D875" s="3"/>
    </row>
    <row r="876">
      <c r="A876" s="12"/>
      <c r="C876" s="12"/>
      <c r="D876" s="3"/>
    </row>
    <row r="877">
      <c r="A877" s="12"/>
      <c r="C877" s="12"/>
      <c r="D877" s="3"/>
    </row>
    <row r="878">
      <c r="A878" s="12"/>
      <c r="C878" s="12"/>
      <c r="D878" s="3"/>
    </row>
    <row r="879">
      <c r="A879" s="12"/>
      <c r="C879" s="12"/>
      <c r="D879" s="3"/>
    </row>
    <row r="880">
      <c r="A880" s="12"/>
      <c r="C880" s="12"/>
      <c r="D880" s="3"/>
    </row>
    <row r="881">
      <c r="A881" s="12"/>
      <c r="C881" s="12"/>
      <c r="D881" s="3"/>
    </row>
    <row r="882">
      <c r="A882" s="12"/>
      <c r="C882" s="12"/>
      <c r="D882" s="3"/>
    </row>
    <row r="883">
      <c r="A883" s="12"/>
      <c r="C883" s="12"/>
      <c r="D883" s="3"/>
    </row>
    <row r="884">
      <c r="A884" s="12"/>
      <c r="C884" s="12"/>
      <c r="D884" s="3"/>
    </row>
    <row r="885">
      <c r="A885" s="12"/>
      <c r="C885" s="12"/>
      <c r="D885" s="3"/>
    </row>
    <row r="886">
      <c r="A886" s="12"/>
      <c r="C886" s="12"/>
      <c r="D886" s="3"/>
    </row>
    <row r="887">
      <c r="A887" s="12"/>
      <c r="C887" s="12"/>
      <c r="D887" s="3"/>
    </row>
    <row r="888">
      <c r="A888" s="12"/>
      <c r="C888" s="12"/>
      <c r="D888" s="3"/>
    </row>
    <row r="889">
      <c r="A889" s="12"/>
      <c r="C889" s="12"/>
      <c r="D889" s="3"/>
    </row>
    <row r="890">
      <c r="A890" s="12"/>
      <c r="C890" s="12"/>
      <c r="D890" s="3"/>
    </row>
    <row r="891">
      <c r="A891" s="12"/>
      <c r="C891" s="12"/>
      <c r="D891" s="3"/>
    </row>
    <row r="892">
      <c r="A892" s="12"/>
      <c r="C892" s="12"/>
      <c r="D892" s="3"/>
    </row>
    <row r="893">
      <c r="A893" s="12"/>
      <c r="C893" s="12"/>
      <c r="D893" s="3"/>
    </row>
    <row r="894">
      <c r="A894" s="12"/>
      <c r="C894" s="12"/>
      <c r="D894" s="3"/>
    </row>
    <row r="895">
      <c r="A895" s="12"/>
      <c r="C895" s="12"/>
      <c r="D895" s="3"/>
    </row>
    <row r="896">
      <c r="A896" s="12"/>
      <c r="C896" s="12"/>
      <c r="D896" s="3"/>
    </row>
    <row r="897">
      <c r="A897" s="12"/>
      <c r="C897" s="12"/>
      <c r="D897" s="3"/>
    </row>
    <row r="898">
      <c r="A898" s="12"/>
      <c r="C898" s="12"/>
      <c r="D898" s="3"/>
    </row>
    <row r="899">
      <c r="A899" s="12"/>
      <c r="C899" s="12"/>
      <c r="D899" s="3"/>
    </row>
    <row r="900">
      <c r="A900" s="12"/>
      <c r="C900" s="12"/>
      <c r="D900" s="3"/>
    </row>
    <row r="901">
      <c r="A901" s="12"/>
      <c r="C901" s="12"/>
      <c r="D901" s="3"/>
    </row>
    <row r="902">
      <c r="A902" s="12"/>
      <c r="C902" s="12"/>
      <c r="D902" s="3"/>
    </row>
    <row r="903">
      <c r="A903" s="12"/>
      <c r="C903" s="12"/>
      <c r="D903" s="3"/>
    </row>
    <row r="904">
      <c r="A904" s="12"/>
      <c r="C904" s="12"/>
      <c r="D904" s="3"/>
    </row>
    <row r="905">
      <c r="A905" s="12"/>
      <c r="C905" s="12"/>
      <c r="D905" s="3"/>
    </row>
    <row r="906">
      <c r="A906" s="12"/>
      <c r="C906" s="12"/>
      <c r="D906" s="3"/>
    </row>
    <row r="907">
      <c r="A907" s="12"/>
      <c r="C907" s="12"/>
      <c r="D907" s="3"/>
    </row>
    <row r="908">
      <c r="A908" s="12"/>
      <c r="C908" s="12"/>
      <c r="D908" s="3"/>
    </row>
    <row r="909">
      <c r="A909" s="12"/>
      <c r="C909" s="12"/>
      <c r="D909" s="3"/>
    </row>
    <row r="910">
      <c r="A910" s="12"/>
      <c r="C910" s="12"/>
      <c r="D910" s="3"/>
    </row>
    <row r="911">
      <c r="A911" s="12"/>
      <c r="C911" s="12"/>
      <c r="D911" s="3"/>
    </row>
    <row r="912">
      <c r="A912" s="12"/>
      <c r="C912" s="12"/>
      <c r="D912" s="3"/>
    </row>
    <row r="913">
      <c r="A913" s="12"/>
      <c r="C913" s="12"/>
      <c r="D913" s="3"/>
    </row>
    <row r="914">
      <c r="A914" s="12"/>
      <c r="C914" s="12"/>
      <c r="D914" s="3"/>
    </row>
    <row r="915">
      <c r="A915" s="12"/>
      <c r="C915" s="12"/>
      <c r="D915" s="3"/>
    </row>
    <row r="916">
      <c r="A916" s="12"/>
      <c r="C916" s="12"/>
      <c r="D916" s="3"/>
    </row>
    <row r="917">
      <c r="A917" s="12"/>
      <c r="C917" s="12"/>
      <c r="D917" s="3"/>
    </row>
    <row r="918">
      <c r="A918" s="12"/>
      <c r="C918" s="12"/>
      <c r="D918" s="3"/>
    </row>
    <row r="919">
      <c r="A919" s="12"/>
      <c r="C919" s="12"/>
      <c r="D919" s="3"/>
    </row>
    <row r="920">
      <c r="A920" s="12"/>
      <c r="C920" s="12"/>
      <c r="D920" s="3"/>
    </row>
    <row r="921">
      <c r="A921" s="12"/>
      <c r="C921" s="12"/>
      <c r="D921" s="3"/>
    </row>
    <row r="922">
      <c r="A922" s="12"/>
      <c r="C922" s="12"/>
      <c r="D922" s="3"/>
    </row>
    <row r="923">
      <c r="A923" s="12"/>
      <c r="C923" s="12"/>
      <c r="D923" s="3"/>
    </row>
    <row r="924">
      <c r="A924" s="12"/>
      <c r="C924" s="12"/>
      <c r="D924" s="3"/>
    </row>
    <row r="925">
      <c r="A925" s="12"/>
      <c r="C925" s="12"/>
      <c r="D925" s="3"/>
    </row>
    <row r="926">
      <c r="A926" s="12"/>
      <c r="C926" s="12"/>
      <c r="D926" s="3"/>
    </row>
    <row r="927">
      <c r="A927" s="12"/>
      <c r="C927" s="12"/>
      <c r="D927" s="3"/>
    </row>
    <row r="928">
      <c r="A928" s="12"/>
      <c r="C928" s="12"/>
      <c r="D928" s="3"/>
    </row>
    <row r="929">
      <c r="A929" s="12"/>
      <c r="C929" s="12"/>
      <c r="D929" s="3"/>
    </row>
    <row r="930">
      <c r="A930" s="12"/>
      <c r="C930" s="12"/>
      <c r="D930" s="3"/>
    </row>
    <row r="931">
      <c r="A931" s="12"/>
      <c r="C931" s="12"/>
      <c r="D931" s="3"/>
    </row>
    <row r="932">
      <c r="A932" s="12"/>
      <c r="C932" s="12"/>
      <c r="D932" s="3"/>
    </row>
    <row r="933">
      <c r="A933" s="12"/>
      <c r="C933" s="12"/>
      <c r="D933" s="3"/>
    </row>
    <row r="934">
      <c r="A934" s="12"/>
      <c r="C934" s="12"/>
      <c r="D934" s="3"/>
    </row>
    <row r="935">
      <c r="A935" s="12"/>
      <c r="C935" s="12"/>
      <c r="D935" s="3"/>
    </row>
    <row r="936">
      <c r="A936" s="12"/>
      <c r="C936" s="12"/>
      <c r="D936" s="3"/>
    </row>
    <row r="937">
      <c r="A937" s="12"/>
      <c r="C937" s="12"/>
      <c r="D937" s="3"/>
    </row>
    <row r="938">
      <c r="A938" s="12"/>
      <c r="C938" s="12"/>
      <c r="D938" s="3"/>
    </row>
    <row r="939">
      <c r="A939" s="12"/>
      <c r="C939" s="12"/>
      <c r="D939" s="3"/>
    </row>
    <row r="940">
      <c r="A940" s="12"/>
      <c r="C940" s="12"/>
      <c r="D940" s="3"/>
    </row>
    <row r="941">
      <c r="A941" s="12"/>
      <c r="C941" s="12"/>
      <c r="D941" s="3"/>
    </row>
    <row r="942">
      <c r="A942" s="12"/>
      <c r="C942" s="12"/>
      <c r="D942" s="3"/>
    </row>
    <row r="943">
      <c r="A943" s="12"/>
      <c r="C943" s="12"/>
      <c r="D943" s="3"/>
    </row>
    <row r="944">
      <c r="A944" s="12"/>
      <c r="C944" s="12"/>
      <c r="D944" s="3"/>
    </row>
    <row r="945">
      <c r="A945" s="12"/>
      <c r="C945" s="12"/>
      <c r="D945" s="3"/>
    </row>
    <row r="946">
      <c r="A946" s="12"/>
      <c r="C946" s="12"/>
      <c r="D946" s="3"/>
    </row>
    <row r="947">
      <c r="A947" s="12"/>
      <c r="C947" s="12"/>
      <c r="D947" s="3"/>
    </row>
    <row r="948">
      <c r="A948" s="12"/>
      <c r="C948" s="12"/>
      <c r="D948" s="3"/>
    </row>
    <row r="949">
      <c r="A949" s="12"/>
      <c r="C949" s="12"/>
      <c r="D949" s="3"/>
    </row>
    <row r="950">
      <c r="A950" s="12"/>
      <c r="C950" s="12"/>
      <c r="D950" s="3"/>
    </row>
    <row r="951">
      <c r="A951" s="12"/>
      <c r="C951" s="12"/>
      <c r="D951" s="3"/>
    </row>
    <row r="952">
      <c r="A952" s="12"/>
      <c r="C952" s="12"/>
      <c r="D952" s="3"/>
    </row>
    <row r="953">
      <c r="A953" s="12"/>
      <c r="C953" s="12"/>
      <c r="D953" s="3"/>
    </row>
    <row r="954">
      <c r="A954" s="12"/>
      <c r="C954" s="12"/>
      <c r="D954" s="3"/>
    </row>
    <row r="955">
      <c r="A955" s="12"/>
      <c r="C955" s="12"/>
      <c r="D955" s="3"/>
    </row>
    <row r="956">
      <c r="A956" s="12"/>
      <c r="C956" s="12"/>
      <c r="D956" s="3"/>
    </row>
    <row r="957">
      <c r="A957" s="12"/>
      <c r="C957" s="12"/>
      <c r="D957" s="3"/>
    </row>
    <row r="958">
      <c r="A958" s="12"/>
      <c r="C958" s="12"/>
      <c r="D958" s="3"/>
    </row>
    <row r="959">
      <c r="A959" s="12"/>
      <c r="C959" s="12"/>
      <c r="D959" s="3"/>
    </row>
    <row r="960">
      <c r="A960" s="12"/>
      <c r="C960" s="12"/>
      <c r="D960" s="3"/>
    </row>
    <row r="961">
      <c r="A961" s="12"/>
      <c r="C961" s="12"/>
      <c r="D961" s="3"/>
    </row>
    <row r="962">
      <c r="A962" s="12"/>
      <c r="C962" s="12"/>
      <c r="D962" s="3"/>
    </row>
    <row r="963">
      <c r="A963" s="12"/>
      <c r="C963" s="12"/>
      <c r="D963" s="3"/>
    </row>
    <row r="964">
      <c r="A964" s="12"/>
      <c r="C964" s="12"/>
      <c r="D964" s="3"/>
    </row>
    <row r="965">
      <c r="A965" s="12"/>
      <c r="C965" s="12"/>
      <c r="D965" s="3"/>
    </row>
    <row r="966">
      <c r="A966" s="12"/>
      <c r="C966" s="12"/>
      <c r="D966" s="3"/>
    </row>
    <row r="967">
      <c r="A967" s="12"/>
      <c r="C967" s="12"/>
      <c r="D967" s="3"/>
    </row>
    <row r="968">
      <c r="A968" s="12"/>
      <c r="C968" s="12"/>
      <c r="D968" s="3"/>
    </row>
    <row r="969">
      <c r="A969" s="12"/>
      <c r="C969" s="12"/>
      <c r="D969" s="3"/>
    </row>
    <row r="970">
      <c r="A970" s="12"/>
      <c r="C970" s="12"/>
      <c r="D970" s="3"/>
    </row>
    <row r="971">
      <c r="A971" s="12"/>
      <c r="C971" s="12"/>
      <c r="D971" s="3"/>
    </row>
    <row r="972">
      <c r="A972" s="12"/>
      <c r="C972" s="12"/>
      <c r="D972" s="3"/>
    </row>
    <row r="973">
      <c r="A973" s="12"/>
      <c r="C973" s="12"/>
      <c r="D973" s="3"/>
    </row>
    <row r="974">
      <c r="A974" s="12"/>
      <c r="C974" s="12"/>
      <c r="D974" s="3"/>
    </row>
    <row r="975">
      <c r="A975" s="12"/>
      <c r="C975" s="12"/>
      <c r="D975" s="3"/>
    </row>
    <row r="976">
      <c r="A976" s="12"/>
      <c r="C976" s="12"/>
      <c r="D976" s="3"/>
    </row>
    <row r="977">
      <c r="A977" s="12"/>
      <c r="C977" s="12"/>
      <c r="D977" s="3"/>
    </row>
    <row r="978">
      <c r="A978" s="12"/>
      <c r="C978" s="12"/>
      <c r="D978" s="3"/>
    </row>
    <row r="979">
      <c r="A979" s="12"/>
      <c r="C979" s="12"/>
      <c r="D979" s="3"/>
    </row>
    <row r="980">
      <c r="A980" s="12"/>
      <c r="C980" s="12"/>
      <c r="D980" s="3"/>
    </row>
    <row r="981">
      <c r="A981" s="12"/>
      <c r="C981" s="12"/>
      <c r="D981" s="3"/>
    </row>
    <row r="982">
      <c r="A982" s="12"/>
      <c r="C982" s="12"/>
      <c r="D982" s="3"/>
    </row>
    <row r="983">
      <c r="A983" s="12"/>
      <c r="C983" s="12"/>
      <c r="D983" s="3"/>
    </row>
    <row r="984">
      <c r="A984" s="12"/>
      <c r="C984" s="12"/>
      <c r="D984" s="3"/>
    </row>
    <row r="985">
      <c r="A985" s="12"/>
      <c r="C985" s="12"/>
      <c r="D985" s="3"/>
    </row>
    <row r="986">
      <c r="A986" s="12"/>
      <c r="C986" s="12"/>
      <c r="D986" s="3"/>
    </row>
    <row r="987">
      <c r="A987" s="12"/>
      <c r="C987" s="12"/>
      <c r="D987" s="3"/>
    </row>
    <row r="988">
      <c r="A988" s="12"/>
      <c r="C988" s="12"/>
      <c r="D988" s="3"/>
    </row>
    <row r="989">
      <c r="A989" s="12"/>
      <c r="C989" s="12"/>
      <c r="D989" s="3"/>
    </row>
    <row r="990">
      <c r="A990" s="12"/>
      <c r="C990" s="12"/>
      <c r="D990" s="3"/>
    </row>
    <row r="991">
      <c r="A991" s="12"/>
      <c r="C991" s="12"/>
      <c r="D991" s="3"/>
    </row>
    <row r="992">
      <c r="A992" s="12"/>
      <c r="C992" s="12"/>
      <c r="D992" s="3"/>
    </row>
    <row r="993">
      <c r="A993" s="12"/>
      <c r="C993" s="12"/>
      <c r="D993" s="3"/>
    </row>
    <row r="994">
      <c r="A994" s="12"/>
      <c r="C994" s="12"/>
      <c r="D994" s="3"/>
    </row>
    <row r="995">
      <c r="A995" s="12"/>
      <c r="C995" s="12"/>
      <c r="D995" s="3"/>
    </row>
  </sheetData>
  <conditionalFormatting sqref="A1:A5 B1">
    <cfRule type="notContainsBlanks" dxfId="0" priority="1">
      <formula>LEN(TRIM(A1))&gt;0</formula>
    </cfRule>
  </conditionalFormatting>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s>
  <sheetData>
    <row r="1">
      <c r="A1" s="20" t="s">
        <v>20</v>
      </c>
      <c r="B1" s="5" t="s">
        <v>21</v>
      </c>
      <c r="C1" s="21" t="s">
        <v>22</v>
      </c>
      <c r="D1" s="22" t="s">
        <v>23</v>
      </c>
    </row>
    <row r="2">
      <c r="A2" s="5" t="s">
        <v>24</v>
      </c>
      <c r="B2" s="23">
        <v>320.0</v>
      </c>
      <c r="C2" s="5" t="s">
        <v>25</v>
      </c>
      <c r="D2" s="24">
        <v>1426.44</v>
      </c>
    </row>
    <row r="3">
      <c r="A3" s="5" t="s">
        <v>26</v>
      </c>
      <c r="B3" s="23">
        <v>175.0</v>
      </c>
      <c r="C3" s="5" t="s">
        <v>27</v>
      </c>
      <c r="D3" s="24">
        <v>5055.6</v>
      </c>
    </row>
    <row r="4">
      <c r="A4" s="5" t="s">
        <v>28</v>
      </c>
      <c r="B4" s="23">
        <v>52.0</v>
      </c>
      <c r="C4" s="5" t="s">
        <v>29</v>
      </c>
      <c r="D4" s="24">
        <v>1426.83</v>
      </c>
    </row>
    <row r="5">
      <c r="A5" s="5" t="s">
        <v>30</v>
      </c>
      <c r="B5" s="23">
        <v>40.0</v>
      </c>
      <c r="C5" s="5" t="s">
        <v>29</v>
      </c>
      <c r="D5" s="24">
        <v>1995.4</v>
      </c>
    </row>
    <row r="6">
      <c r="A6" s="6" t="s">
        <v>31</v>
      </c>
      <c r="B6" s="24">
        <v>11.99</v>
      </c>
      <c r="C6" s="5" t="s">
        <v>32</v>
      </c>
    </row>
    <row r="7">
      <c r="A7" s="5" t="s">
        <v>33</v>
      </c>
      <c r="B7" s="23">
        <v>150.0</v>
      </c>
      <c r="C7" s="5" t="s">
        <v>32</v>
      </c>
      <c r="D7" s="23">
        <v>8000.0</v>
      </c>
    </row>
    <row r="8">
      <c r="A8" s="5" t="s">
        <v>34</v>
      </c>
      <c r="B8" s="24">
        <v>86.51</v>
      </c>
      <c r="C8" s="5" t="s">
        <v>32</v>
      </c>
    </row>
    <row r="9">
      <c r="A9" s="5" t="s">
        <v>35</v>
      </c>
      <c r="B9" s="23">
        <v>254.0</v>
      </c>
      <c r="C9" s="5" t="s">
        <v>27</v>
      </c>
      <c r="D9" s="24">
        <v>20314.11</v>
      </c>
    </row>
    <row r="10">
      <c r="A10" s="5" t="s">
        <v>35</v>
      </c>
      <c r="B10" s="23">
        <v>258.0</v>
      </c>
      <c r="C10" s="5" t="s">
        <v>32</v>
      </c>
      <c r="D10" s="24">
        <v>20568.34</v>
      </c>
    </row>
    <row r="11">
      <c r="A11" s="5" t="s">
        <v>36</v>
      </c>
      <c r="B11" s="24">
        <v>40.0</v>
      </c>
      <c r="C11" s="5" t="s">
        <v>29</v>
      </c>
      <c r="D11" s="24">
        <v>1100.0</v>
      </c>
    </row>
    <row r="12">
      <c r="A12" s="5" t="s">
        <v>37</v>
      </c>
      <c r="B12" s="24">
        <v>150.0</v>
      </c>
      <c r="C12" s="5"/>
      <c r="D12" s="24">
        <v>6059.46</v>
      </c>
    </row>
    <row r="14">
      <c r="B14" s="25" t="s">
        <v>38</v>
      </c>
      <c r="D14" s="6" t="s">
        <v>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16.38"/>
    <col customWidth="1" min="2" max="2" width="29.75"/>
    <col customWidth="1" min="3" max="3" width="63.25"/>
    <col customWidth="1" min="4" max="4" width="25.88"/>
    <col customWidth="1" min="5" max="5" width="24.75"/>
  </cols>
  <sheetData>
    <row r="1">
      <c r="A1" s="26">
        <f>'Monthly Savings'!A5</f>
        <v>12029</v>
      </c>
      <c r="B1" s="27" t="s">
        <v>40</v>
      </c>
      <c r="C1" s="6"/>
      <c r="D1" s="12"/>
    </row>
    <row r="2">
      <c r="A2" s="28"/>
      <c r="B2" s="29" t="s">
        <v>41</v>
      </c>
      <c r="C2" s="2"/>
      <c r="D2" s="30"/>
      <c r="E2" s="14"/>
      <c r="F2" s="31"/>
      <c r="G2" s="31"/>
      <c r="H2" s="31"/>
      <c r="I2" s="31"/>
      <c r="J2" s="31"/>
      <c r="K2" s="31"/>
      <c r="L2" s="31"/>
      <c r="M2" s="31"/>
      <c r="N2" s="31"/>
      <c r="O2" s="31"/>
      <c r="P2" s="31"/>
      <c r="Q2" s="31"/>
      <c r="R2" s="31"/>
      <c r="S2" s="31"/>
      <c r="T2" s="31"/>
      <c r="U2" s="31"/>
      <c r="V2" s="31"/>
      <c r="W2" s="31"/>
      <c r="X2" s="31"/>
      <c r="Y2" s="31"/>
      <c r="Z2" s="31"/>
    </row>
    <row r="3">
      <c r="A3" s="32" t="s">
        <v>42</v>
      </c>
      <c r="B3" s="33" t="s">
        <v>43</v>
      </c>
      <c r="C3" s="34" t="s">
        <v>44</v>
      </c>
      <c r="D3" s="35" t="s">
        <v>45</v>
      </c>
      <c r="G3" s="31"/>
      <c r="H3" s="31"/>
      <c r="I3" s="31"/>
      <c r="J3" s="31"/>
      <c r="K3" s="31"/>
      <c r="L3" s="31"/>
      <c r="M3" s="31"/>
      <c r="N3" s="31"/>
      <c r="O3" s="31"/>
      <c r="P3" s="31"/>
      <c r="Q3" s="31"/>
      <c r="R3" s="31"/>
      <c r="S3" s="31"/>
      <c r="T3" s="31"/>
      <c r="U3" s="31"/>
      <c r="V3" s="31"/>
      <c r="W3" s="31"/>
      <c r="X3" s="31"/>
      <c r="Y3" s="31"/>
      <c r="Z3" s="31"/>
    </row>
    <row r="4">
      <c r="A4" s="36">
        <v>270.0</v>
      </c>
      <c r="B4" s="37" t="s">
        <v>46</v>
      </c>
      <c r="C4" s="6" t="s">
        <v>47</v>
      </c>
      <c r="D4" s="38" t="s">
        <v>48</v>
      </c>
    </row>
    <row r="5">
      <c r="A5" s="36">
        <v>86.51</v>
      </c>
      <c r="B5" s="37" t="s">
        <v>49</v>
      </c>
      <c r="C5" s="12"/>
      <c r="D5" s="12"/>
    </row>
    <row r="6" customHeight="1">
      <c r="A6" s="36">
        <v>92.0</v>
      </c>
      <c r="B6" s="37" t="s">
        <v>50</v>
      </c>
      <c r="C6" s="12"/>
      <c r="D6" s="12"/>
    </row>
    <row r="7" customHeight="1">
      <c r="A7" s="36">
        <v>11.0</v>
      </c>
      <c r="B7" s="37" t="s">
        <v>51</v>
      </c>
      <c r="C7" s="6"/>
      <c r="D7" s="38"/>
    </row>
    <row r="8" customHeight="1">
      <c r="A8" s="36">
        <v>20.0</v>
      </c>
      <c r="B8" s="37" t="s">
        <v>52</v>
      </c>
      <c r="C8" s="6"/>
      <c r="D8" s="38" t="s">
        <v>48</v>
      </c>
    </row>
    <row r="9">
      <c r="A9" s="36">
        <v>1820.0</v>
      </c>
      <c r="B9" s="37" t="s">
        <v>53</v>
      </c>
      <c r="C9" s="6"/>
      <c r="D9" s="38" t="s">
        <v>48</v>
      </c>
    </row>
    <row r="10">
      <c r="A10" s="36">
        <v>145.0</v>
      </c>
      <c r="B10" s="37" t="s">
        <v>54</v>
      </c>
      <c r="C10" s="5" t="s">
        <v>55</v>
      </c>
      <c r="D10" s="38" t="s">
        <v>48</v>
      </c>
    </row>
    <row r="11" ht="15.0" customHeight="1">
      <c r="A11" s="36">
        <v>46.0</v>
      </c>
      <c r="B11" s="37" t="s">
        <v>56</v>
      </c>
      <c r="C11" s="6" t="s">
        <v>57</v>
      </c>
      <c r="D11" s="38" t="s">
        <v>48</v>
      </c>
    </row>
    <row r="12">
      <c r="A12" s="36">
        <v>50.0</v>
      </c>
      <c r="B12" s="37" t="s">
        <v>58</v>
      </c>
      <c r="C12" s="6"/>
      <c r="D12" s="38"/>
    </row>
    <row r="13">
      <c r="A13" s="36">
        <v>85.0</v>
      </c>
      <c r="B13" s="37" t="s">
        <v>59</v>
      </c>
      <c r="D13" s="38" t="s">
        <v>48</v>
      </c>
    </row>
    <row r="14">
      <c r="A14" s="36">
        <v>5.0</v>
      </c>
      <c r="B14" s="37" t="s">
        <v>60</v>
      </c>
      <c r="D14" s="38" t="s">
        <v>48</v>
      </c>
    </row>
    <row r="15" ht="15.75" customHeight="1">
      <c r="A15" s="36">
        <v>12.0</v>
      </c>
      <c r="B15" s="37" t="s">
        <v>61</v>
      </c>
      <c r="D15" s="39"/>
    </row>
    <row r="16" ht="15.75" customHeight="1">
      <c r="A16" s="36">
        <v>16.0</v>
      </c>
      <c r="B16" s="37" t="s">
        <v>62</v>
      </c>
      <c r="C16" s="5"/>
      <c r="D16" s="39"/>
    </row>
    <row r="17" ht="15.75" customHeight="1">
      <c r="A17" s="36">
        <v>10.0</v>
      </c>
      <c r="B17" s="37" t="s">
        <v>63</v>
      </c>
      <c r="C17" s="5"/>
      <c r="D17" s="38" t="s">
        <v>48</v>
      </c>
    </row>
    <row r="18" customHeight="1">
      <c r="A18" s="36">
        <v>5.0</v>
      </c>
      <c r="B18" s="40" t="s">
        <v>64</v>
      </c>
      <c r="C18" s="5" t="s">
        <v>65</v>
      </c>
      <c r="D18" s="41"/>
    </row>
    <row r="19">
      <c r="A19" s="36">
        <v>250.0</v>
      </c>
      <c r="B19" s="37" t="s">
        <v>66</v>
      </c>
      <c r="C19" s="12"/>
      <c r="D19" s="12"/>
    </row>
    <row r="20">
      <c r="A20" s="36">
        <v>250.0</v>
      </c>
      <c r="B20" s="37" t="s">
        <v>67</v>
      </c>
      <c r="C20" s="42"/>
      <c r="D20" s="12"/>
    </row>
    <row r="21">
      <c r="A21" s="36">
        <v>100.0</v>
      </c>
      <c r="B21" s="37" t="s">
        <v>68</v>
      </c>
      <c r="C21" s="42"/>
      <c r="D21" s="12"/>
    </row>
    <row r="22">
      <c r="A22" s="36">
        <v>140.0</v>
      </c>
      <c r="B22" s="37" t="s">
        <v>69</v>
      </c>
      <c r="C22" s="42"/>
      <c r="D22" s="12"/>
    </row>
    <row r="23">
      <c r="A23" s="36">
        <v>400.0</v>
      </c>
      <c r="B23" s="37" t="s">
        <v>70</v>
      </c>
      <c r="C23" s="42" t="s">
        <v>71</v>
      </c>
      <c r="D23" s="12"/>
    </row>
    <row r="24">
      <c r="A24" s="36">
        <v>0.0</v>
      </c>
      <c r="B24" s="37" t="s">
        <v>72</v>
      </c>
      <c r="C24" s="6" t="s">
        <v>73</v>
      </c>
      <c r="D24" s="38"/>
    </row>
    <row r="25">
      <c r="A25" s="36">
        <v>137.0</v>
      </c>
      <c r="B25" s="37" t="s">
        <v>74</v>
      </c>
      <c r="C25" s="6"/>
      <c r="D25" s="38" t="s">
        <v>48</v>
      </c>
    </row>
    <row r="26">
      <c r="A26" s="36">
        <v>100.0</v>
      </c>
      <c r="B26" s="37" t="s">
        <v>75</v>
      </c>
      <c r="C26" s="6" t="s">
        <v>76</v>
      </c>
      <c r="D26" s="38" t="s">
        <v>48</v>
      </c>
    </row>
    <row r="27">
      <c r="A27" s="36">
        <v>600.0</v>
      </c>
      <c r="B27" s="43" t="s">
        <v>77</v>
      </c>
      <c r="C27" s="6" t="s">
        <v>78</v>
      </c>
      <c r="D27" s="30"/>
      <c r="E27" s="31"/>
      <c r="F27" s="31"/>
      <c r="G27" s="31"/>
      <c r="H27" s="31"/>
      <c r="I27" s="31"/>
      <c r="J27" s="31"/>
      <c r="K27" s="31"/>
      <c r="L27" s="31"/>
      <c r="M27" s="31"/>
      <c r="N27" s="31"/>
      <c r="O27" s="31"/>
      <c r="P27" s="31"/>
      <c r="Q27" s="31"/>
      <c r="R27" s="31"/>
      <c r="S27" s="31"/>
      <c r="T27" s="31"/>
      <c r="U27" s="31"/>
      <c r="V27" s="31"/>
      <c r="W27" s="31"/>
      <c r="X27" s="31"/>
      <c r="Y27" s="31"/>
      <c r="Z27" s="31"/>
    </row>
    <row r="28">
      <c r="A28" s="36">
        <v>1000.0</v>
      </c>
      <c r="B28" s="37" t="s">
        <v>79</v>
      </c>
      <c r="C28" s="6" t="s">
        <v>78</v>
      </c>
      <c r="D28" s="12"/>
    </row>
    <row r="29">
      <c r="A29" s="36">
        <v>100.0</v>
      </c>
      <c r="B29" s="43" t="s">
        <v>80</v>
      </c>
      <c r="C29" s="6" t="s">
        <v>78</v>
      </c>
      <c r="D29" s="30"/>
      <c r="E29" s="31"/>
      <c r="F29" s="31"/>
      <c r="G29" s="31"/>
      <c r="H29" s="31"/>
      <c r="I29" s="31"/>
      <c r="J29" s="31"/>
      <c r="K29" s="31"/>
      <c r="L29" s="31"/>
      <c r="M29" s="31"/>
      <c r="N29" s="31"/>
      <c r="O29" s="31"/>
      <c r="P29" s="31"/>
      <c r="Q29" s="31"/>
      <c r="R29" s="31"/>
      <c r="S29" s="31"/>
      <c r="T29" s="31"/>
      <c r="U29" s="31"/>
      <c r="V29" s="31"/>
      <c r="W29" s="31"/>
      <c r="X29" s="31"/>
      <c r="Y29" s="31"/>
      <c r="Z29" s="31"/>
    </row>
    <row r="30">
      <c r="A30" s="36">
        <v>100.0</v>
      </c>
      <c r="B30" s="43" t="s">
        <v>81</v>
      </c>
      <c r="C30" s="6" t="s">
        <v>78</v>
      </c>
      <c r="D30" s="30"/>
      <c r="E30" s="31"/>
      <c r="F30" s="31"/>
      <c r="G30" s="31"/>
      <c r="H30" s="31"/>
      <c r="I30" s="31"/>
      <c r="J30" s="31"/>
      <c r="K30" s="31"/>
      <c r="L30" s="31"/>
      <c r="M30" s="31"/>
      <c r="N30" s="31"/>
      <c r="O30" s="31"/>
      <c r="P30" s="31"/>
      <c r="Q30" s="31"/>
      <c r="R30" s="31"/>
      <c r="S30" s="31"/>
      <c r="T30" s="31"/>
      <c r="U30" s="31"/>
      <c r="V30" s="31"/>
      <c r="W30" s="31"/>
      <c r="X30" s="31"/>
      <c r="Y30" s="31"/>
      <c r="Z30" s="31"/>
    </row>
    <row r="31">
      <c r="A31" s="36">
        <v>30.0</v>
      </c>
      <c r="B31" s="43" t="s">
        <v>82</v>
      </c>
      <c r="C31" s="42" t="s">
        <v>83</v>
      </c>
      <c r="D31" s="38" t="s">
        <v>48</v>
      </c>
      <c r="E31" s="31"/>
      <c r="F31" s="31"/>
      <c r="G31" s="31"/>
      <c r="H31" s="31"/>
      <c r="I31" s="31"/>
      <c r="J31" s="31"/>
      <c r="K31" s="31"/>
      <c r="L31" s="31"/>
      <c r="M31" s="31"/>
      <c r="N31" s="31"/>
      <c r="O31" s="31"/>
      <c r="P31" s="31"/>
      <c r="Q31" s="31"/>
      <c r="R31" s="31"/>
      <c r="S31" s="31"/>
      <c r="T31" s="31"/>
      <c r="U31" s="31"/>
      <c r="V31" s="31"/>
      <c r="W31" s="31"/>
      <c r="X31" s="31"/>
      <c r="Y31" s="31"/>
      <c r="Z31" s="31"/>
    </row>
    <row r="32">
      <c r="A32" s="36">
        <v>350.0</v>
      </c>
      <c r="B32" s="37" t="s">
        <v>84</v>
      </c>
      <c r="C32" s="6" t="s">
        <v>78</v>
      </c>
      <c r="D32" s="12"/>
    </row>
    <row r="33">
      <c r="A33" s="36">
        <v>7.0</v>
      </c>
      <c r="B33" s="37" t="s">
        <v>85</v>
      </c>
      <c r="C33" s="44"/>
      <c r="D33" s="38" t="s">
        <v>48</v>
      </c>
    </row>
    <row r="34">
      <c r="A34" s="36">
        <v>21.0</v>
      </c>
      <c r="B34" s="37" t="s">
        <v>86</v>
      </c>
      <c r="C34" s="45" t="s">
        <v>87</v>
      </c>
      <c r="D34" s="39"/>
    </row>
    <row r="35">
      <c r="A35" s="36">
        <v>50.0</v>
      </c>
      <c r="B35" s="37" t="s">
        <v>88</v>
      </c>
      <c r="C35" s="44"/>
      <c r="D35" s="6"/>
    </row>
    <row r="36">
      <c r="A36" s="36">
        <v>3.33</v>
      </c>
      <c r="B36" s="37" t="s">
        <v>89</v>
      </c>
      <c r="C36" s="39" t="s">
        <v>90</v>
      </c>
    </row>
    <row r="37" customHeight="1">
      <c r="A37" s="46">
        <v>10.0</v>
      </c>
      <c r="B37" s="47" t="s">
        <v>91</v>
      </c>
      <c r="C37" s="48" t="s">
        <v>92</v>
      </c>
      <c r="D37" s="49"/>
      <c r="E37" s="50"/>
      <c r="F37" s="50"/>
      <c r="G37" s="50"/>
      <c r="H37" s="50"/>
      <c r="I37" s="50"/>
      <c r="J37" s="50"/>
      <c r="K37" s="50"/>
      <c r="L37" s="50"/>
      <c r="M37" s="50"/>
      <c r="N37" s="50"/>
      <c r="O37" s="50"/>
      <c r="P37" s="50"/>
      <c r="Q37" s="50"/>
      <c r="R37" s="50"/>
      <c r="S37" s="50"/>
      <c r="T37" s="50"/>
      <c r="U37" s="50"/>
      <c r="V37" s="50"/>
      <c r="W37" s="50"/>
      <c r="X37" s="50"/>
      <c r="Y37" s="50"/>
      <c r="Z37" s="50"/>
    </row>
    <row r="38">
      <c r="A38" s="36">
        <v>2.0</v>
      </c>
      <c r="B38" s="37" t="s">
        <v>93</v>
      </c>
      <c r="C38" s="12"/>
      <c r="D38" s="12"/>
    </row>
    <row r="39">
      <c r="A39" s="36">
        <v>2.0</v>
      </c>
      <c r="B39" s="37" t="s">
        <v>94</v>
      </c>
      <c r="C39" s="44"/>
      <c r="D39" s="39"/>
    </row>
    <row r="40">
      <c r="A40" s="36">
        <v>0.0</v>
      </c>
      <c r="B40" s="37" t="s">
        <v>95</v>
      </c>
      <c r="C40" s="6" t="s">
        <v>96</v>
      </c>
      <c r="D40" s="38" t="s">
        <v>48</v>
      </c>
    </row>
    <row r="41">
      <c r="A41" s="36">
        <v>0.0</v>
      </c>
      <c r="B41" s="37" t="s">
        <v>97</v>
      </c>
      <c r="C41" s="51" t="s">
        <v>98</v>
      </c>
      <c r="D41" s="52"/>
      <c r="E41" s="52"/>
      <c r="F41" s="52"/>
      <c r="G41" s="52"/>
      <c r="H41" s="52"/>
      <c r="I41" s="52"/>
      <c r="J41" s="52"/>
      <c r="K41" s="52"/>
      <c r="L41" s="52"/>
      <c r="M41" s="52"/>
      <c r="N41" s="52"/>
      <c r="O41" s="52"/>
      <c r="P41" s="52"/>
      <c r="Q41" s="52"/>
      <c r="R41" s="52"/>
      <c r="S41" s="52"/>
      <c r="T41" s="52"/>
      <c r="U41" s="52"/>
      <c r="V41" s="52"/>
      <c r="W41" s="52"/>
      <c r="X41" s="52"/>
      <c r="Y41" s="52"/>
      <c r="Z41" s="52"/>
    </row>
    <row r="42">
      <c r="A42" s="36">
        <v>50.0</v>
      </c>
      <c r="B42" s="37" t="s">
        <v>99</v>
      </c>
      <c r="C42" s="53"/>
      <c r="D42" s="52"/>
      <c r="E42" s="52"/>
      <c r="F42" s="52"/>
      <c r="G42" s="52"/>
      <c r="H42" s="52"/>
      <c r="I42" s="52"/>
      <c r="J42" s="52"/>
      <c r="K42" s="52"/>
      <c r="L42" s="52"/>
      <c r="M42" s="52"/>
      <c r="N42" s="52"/>
      <c r="O42" s="52"/>
      <c r="P42" s="52"/>
      <c r="Q42" s="52"/>
      <c r="R42" s="52"/>
      <c r="S42" s="52"/>
      <c r="T42" s="52"/>
      <c r="U42" s="52"/>
      <c r="V42" s="52"/>
      <c r="W42" s="52"/>
      <c r="X42" s="52"/>
      <c r="Y42" s="52"/>
      <c r="Z42" s="52"/>
    </row>
    <row r="43">
      <c r="A43" s="36">
        <v>0.0</v>
      </c>
      <c r="B43" s="37" t="s">
        <v>100</v>
      </c>
      <c r="C43" s="6" t="s">
        <v>73</v>
      </c>
      <c r="D43" s="38" t="s">
        <v>48</v>
      </c>
    </row>
    <row r="44">
      <c r="A44" s="36">
        <v>150.0</v>
      </c>
      <c r="B44" s="37" t="s">
        <v>101</v>
      </c>
      <c r="C44" s="6"/>
    </row>
    <row r="45">
      <c r="A45" s="54">
        <v>75.0</v>
      </c>
      <c r="B45" s="37" t="s">
        <v>102</v>
      </c>
      <c r="C45" s="6"/>
      <c r="D45" s="38" t="s">
        <v>48</v>
      </c>
    </row>
    <row r="46">
      <c r="A46" s="36">
        <v>230.0</v>
      </c>
      <c r="B46" s="37" t="s">
        <v>103</v>
      </c>
      <c r="C46" s="6"/>
      <c r="D46" s="38" t="s">
        <v>48</v>
      </c>
    </row>
    <row r="47">
      <c r="A47" s="36">
        <v>0.0</v>
      </c>
      <c r="B47" s="37" t="s">
        <v>104</v>
      </c>
      <c r="C47" s="55" t="s">
        <v>105</v>
      </c>
      <c r="D47" s="38" t="s">
        <v>48</v>
      </c>
    </row>
    <row r="48">
      <c r="A48" s="36">
        <v>7.0</v>
      </c>
      <c r="B48" s="37" t="s">
        <v>106</v>
      </c>
      <c r="C48" s="6"/>
      <c r="D48" s="38"/>
    </row>
    <row r="49">
      <c r="A49" s="36">
        <v>300.0</v>
      </c>
      <c r="B49" s="37" t="s">
        <v>107</v>
      </c>
      <c r="C49" s="6" t="s">
        <v>108</v>
      </c>
      <c r="D49" s="38" t="s">
        <v>48</v>
      </c>
    </row>
    <row r="50">
      <c r="A50" s="36">
        <v>17.0</v>
      </c>
      <c r="B50" s="37" t="s">
        <v>109</v>
      </c>
      <c r="C50" s="6"/>
      <c r="D50" s="38" t="s">
        <v>48</v>
      </c>
    </row>
    <row r="51">
      <c r="A51" s="36">
        <v>31.0</v>
      </c>
      <c r="B51" s="37" t="s">
        <v>110</v>
      </c>
      <c r="C51" s="6" t="s">
        <v>111</v>
      </c>
      <c r="D51" s="38"/>
    </row>
    <row r="52">
      <c r="A52" s="36">
        <v>11.0</v>
      </c>
      <c r="B52" s="37" t="s">
        <v>112</v>
      </c>
      <c r="C52" s="6"/>
      <c r="D52" s="38"/>
    </row>
    <row r="53">
      <c r="A53" s="56">
        <f>SUM(A4:A52)</f>
        <v>7196.84</v>
      </c>
      <c r="B53" s="57" t="s">
        <v>113</v>
      </c>
      <c r="C53" s="12"/>
      <c r="D53" s="58" t="s">
        <v>114</v>
      </c>
    </row>
    <row r="54">
      <c r="A54" s="59"/>
      <c r="B54" s="12"/>
      <c r="C54" s="12"/>
      <c r="D54" s="60">
        <f> SUMIF(D4:D51,"Paid with Chime Prepaid Visa",A4:A51) + SUMIF('Monthly Debt Owed Payments'!C4:C8,"Paid with Chime Prepaid Visa",'Monthly Debt Owed Payments'!A4:A8  )</f>
        <v>3297</v>
      </c>
    </row>
    <row r="55">
      <c r="A55" s="61">
        <f>MINUS(A1, A53)</f>
        <v>4832.16</v>
      </c>
      <c r="B55" s="62" t="s">
        <v>115</v>
      </c>
      <c r="C55" s="12"/>
      <c r="D55" s="12"/>
    </row>
    <row r="56">
      <c r="A56" s="59"/>
      <c r="B56" s="12"/>
      <c r="C56" s="12"/>
      <c r="D56" s="6"/>
    </row>
    <row r="57">
      <c r="A57" s="59"/>
      <c r="B57" s="12"/>
      <c r="C57" s="12"/>
      <c r="D57" s="12"/>
    </row>
    <row r="58">
      <c r="A58" s="59"/>
      <c r="B58" s="12"/>
      <c r="C58" s="12"/>
      <c r="D58" s="12"/>
    </row>
    <row r="59">
      <c r="A59" s="59"/>
      <c r="B59" s="12"/>
      <c r="C59" s="12"/>
      <c r="D59" s="12"/>
    </row>
    <row r="60">
      <c r="A60" s="59"/>
      <c r="B60" s="12"/>
      <c r="C60" s="12"/>
      <c r="D60" s="12"/>
    </row>
    <row r="61">
      <c r="A61" s="59"/>
      <c r="B61" s="12"/>
      <c r="C61" s="12"/>
      <c r="D61" s="12"/>
    </row>
    <row r="62">
      <c r="A62" s="59"/>
      <c r="B62" s="12"/>
      <c r="C62" s="12"/>
      <c r="D62" s="12"/>
    </row>
    <row r="63">
      <c r="A63" s="59"/>
      <c r="B63" s="12"/>
      <c r="C63" s="12"/>
      <c r="D63" s="12"/>
    </row>
    <row r="64">
      <c r="A64" s="59"/>
      <c r="B64" s="12"/>
      <c r="C64" s="12"/>
      <c r="D64" s="12"/>
    </row>
    <row r="65">
      <c r="A65" s="59"/>
      <c r="B65" s="12"/>
      <c r="C65" s="12"/>
      <c r="D65" s="12"/>
    </row>
    <row r="66">
      <c r="A66" s="59"/>
      <c r="B66" s="12"/>
      <c r="C66" s="12"/>
      <c r="D66" s="12"/>
    </row>
    <row r="67">
      <c r="A67" s="59"/>
      <c r="B67" s="12"/>
      <c r="C67" s="12"/>
      <c r="D67" s="12"/>
    </row>
    <row r="68">
      <c r="A68" s="59"/>
      <c r="B68" s="12"/>
      <c r="C68" s="12"/>
      <c r="D68" s="12"/>
    </row>
    <row r="69">
      <c r="A69" s="59"/>
      <c r="B69" s="12"/>
      <c r="C69" s="12"/>
      <c r="D69" s="12"/>
    </row>
    <row r="70">
      <c r="A70" s="59"/>
      <c r="B70" s="12"/>
      <c r="C70" s="12"/>
      <c r="D70" s="12"/>
    </row>
    <row r="71">
      <c r="A71" s="59"/>
      <c r="B71" s="12"/>
      <c r="C71" s="12"/>
      <c r="D71" s="12"/>
    </row>
    <row r="72">
      <c r="A72" s="59"/>
      <c r="B72" s="12"/>
      <c r="C72" s="12"/>
      <c r="D72" s="12"/>
    </row>
    <row r="73">
      <c r="A73" s="59"/>
      <c r="B73" s="12"/>
      <c r="C73" s="12"/>
      <c r="D73" s="12"/>
    </row>
    <row r="74">
      <c r="A74" s="59"/>
      <c r="B74" s="12"/>
      <c r="C74" s="12"/>
      <c r="D74" s="12"/>
    </row>
    <row r="75">
      <c r="A75" s="59"/>
      <c r="B75" s="12"/>
      <c r="C75" s="12"/>
      <c r="D75" s="12"/>
    </row>
    <row r="76">
      <c r="A76" s="59"/>
      <c r="B76" s="12"/>
      <c r="C76" s="12"/>
      <c r="D76" s="12"/>
    </row>
    <row r="77">
      <c r="A77" s="59"/>
      <c r="B77" s="12"/>
      <c r="C77" s="12"/>
      <c r="D77" s="12"/>
    </row>
    <row r="78">
      <c r="A78" s="59"/>
      <c r="B78" s="12"/>
      <c r="C78" s="12"/>
      <c r="D78" s="12"/>
    </row>
    <row r="79">
      <c r="A79" s="59"/>
      <c r="B79" s="12"/>
      <c r="C79" s="12"/>
      <c r="D79" s="12"/>
    </row>
    <row r="80">
      <c r="A80" s="59"/>
      <c r="B80" s="12"/>
      <c r="C80" s="12"/>
      <c r="D80" s="12"/>
    </row>
    <row r="81">
      <c r="A81" s="59"/>
      <c r="B81" s="12"/>
      <c r="C81" s="12"/>
      <c r="D81" s="12"/>
    </row>
    <row r="82">
      <c r="A82" s="59"/>
      <c r="B82" s="12"/>
      <c r="C82" s="12"/>
      <c r="D82" s="12"/>
    </row>
    <row r="83">
      <c r="A83" s="59"/>
      <c r="B83" s="12"/>
      <c r="C83" s="12"/>
      <c r="D83" s="12"/>
    </row>
    <row r="84">
      <c r="A84" s="59"/>
      <c r="B84" s="12"/>
      <c r="C84" s="12"/>
      <c r="D84" s="12"/>
    </row>
    <row r="85">
      <c r="A85" s="59"/>
      <c r="B85" s="12"/>
      <c r="C85" s="12"/>
      <c r="D85" s="12"/>
    </row>
    <row r="86">
      <c r="A86" s="59"/>
      <c r="B86" s="12"/>
      <c r="C86" s="12"/>
      <c r="D86" s="12"/>
    </row>
    <row r="87">
      <c r="A87" s="59"/>
      <c r="B87" s="12"/>
      <c r="C87" s="12"/>
      <c r="D87" s="12"/>
    </row>
    <row r="88">
      <c r="A88" s="59"/>
      <c r="B88" s="12"/>
      <c r="C88" s="12"/>
      <c r="D88" s="12"/>
    </row>
    <row r="89">
      <c r="A89" s="59"/>
      <c r="B89" s="12"/>
      <c r="C89" s="12"/>
      <c r="D89" s="12"/>
    </row>
    <row r="90">
      <c r="A90" s="59"/>
      <c r="B90" s="12"/>
      <c r="C90" s="12"/>
      <c r="D90" s="12"/>
    </row>
    <row r="91">
      <c r="A91" s="59"/>
      <c r="B91" s="12"/>
      <c r="C91" s="12"/>
      <c r="D91" s="12"/>
    </row>
    <row r="92">
      <c r="A92" s="59"/>
      <c r="B92" s="12"/>
      <c r="C92" s="12"/>
      <c r="D92" s="12"/>
    </row>
    <row r="93">
      <c r="A93" s="59"/>
      <c r="B93" s="12"/>
      <c r="C93" s="12"/>
      <c r="D93" s="12"/>
    </row>
    <row r="94">
      <c r="A94" s="59"/>
      <c r="B94" s="12"/>
      <c r="C94" s="12"/>
      <c r="D94" s="12"/>
    </row>
    <row r="95">
      <c r="A95" s="59"/>
      <c r="B95" s="12"/>
      <c r="C95" s="12"/>
      <c r="D95" s="12"/>
    </row>
    <row r="96">
      <c r="A96" s="59"/>
      <c r="B96" s="12"/>
      <c r="C96" s="12"/>
      <c r="D96" s="12"/>
    </row>
    <row r="97">
      <c r="A97" s="59"/>
      <c r="B97" s="12"/>
      <c r="C97" s="12"/>
      <c r="D97" s="12"/>
    </row>
    <row r="98">
      <c r="A98" s="59"/>
      <c r="B98" s="12"/>
      <c r="C98" s="12"/>
      <c r="D98" s="12"/>
    </row>
    <row r="99">
      <c r="A99" s="59"/>
      <c r="B99" s="12"/>
      <c r="C99" s="12"/>
      <c r="D99" s="12"/>
    </row>
    <row r="100">
      <c r="A100" s="59"/>
      <c r="B100" s="12"/>
      <c r="C100" s="12"/>
      <c r="D100" s="12"/>
    </row>
    <row r="101">
      <c r="A101" s="59"/>
      <c r="B101" s="12"/>
      <c r="C101" s="12"/>
      <c r="D101" s="12"/>
    </row>
    <row r="102">
      <c r="A102" s="59"/>
      <c r="B102" s="12"/>
      <c r="C102" s="12"/>
      <c r="D102" s="12"/>
    </row>
    <row r="103">
      <c r="A103" s="59"/>
      <c r="B103" s="12"/>
      <c r="C103" s="12"/>
      <c r="D103" s="12"/>
    </row>
    <row r="104">
      <c r="A104" s="59"/>
      <c r="B104" s="12"/>
      <c r="C104" s="12"/>
      <c r="D104" s="12"/>
    </row>
    <row r="105">
      <c r="A105" s="59"/>
      <c r="B105" s="12"/>
      <c r="C105" s="12"/>
      <c r="D105" s="12"/>
    </row>
    <row r="106">
      <c r="A106" s="59"/>
      <c r="B106" s="12"/>
      <c r="C106" s="12"/>
      <c r="D106" s="12"/>
    </row>
    <row r="107">
      <c r="A107" s="59"/>
      <c r="B107" s="12"/>
      <c r="C107" s="12"/>
      <c r="D107" s="12"/>
    </row>
    <row r="108">
      <c r="A108" s="59"/>
      <c r="B108" s="12"/>
      <c r="C108" s="12"/>
      <c r="D108" s="12"/>
    </row>
    <row r="109">
      <c r="A109" s="59"/>
      <c r="B109" s="12"/>
      <c r="C109" s="12"/>
      <c r="D109" s="12"/>
    </row>
    <row r="110">
      <c r="A110" s="59"/>
      <c r="B110" s="12"/>
      <c r="C110" s="12"/>
      <c r="D110" s="12"/>
    </row>
    <row r="111">
      <c r="A111" s="59"/>
      <c r="B111" s="12"/>
      <c r="C111" s="12"/>
      <c r="D111" s="12"/>
    </row>
    <row r="112">
      <c r="A112" s="59"/>
      <c r="B112" s="12"/>
      <c r="C112" s="12"/>
      <c r="D112" s="12"/>
    </row>
    <row r="113">
      <c r="A113" s="59"/>
      <c r="B113" s="12"/>
      <c r="C113" s="12"/>
      <c r="D113" s="12"/>
    </row>
    <row r="114">
      <c r="A114" s="59"/>
      <c r="B114" s="12"/>
      <c r="C114" s="12"/>
      <c r="D114" s="12"/>
    </row>
    <row r="115">
      <c r="A115" s="59"/>
      <c r="B115" s="12"/>
      <c r="C115" s="12"/>
      <c r="D115" s="12"/>
    </row>
    <row r="116">
      <c r="A116" s="59"/>
      <c r="B116" s="12"/>
      <c r="C116" s="12"/>
      <c r="D116" s="12"/>
    </row>
    <row r="117">
      <c r="A117" s="59"/>
      <c r="B117" s="12"/>
      <c r="C117" s="12"/>
      <c r="D117" s="12"/>
    </row>
    <row r="118">
      <c r="A118" s="59"/>
      <c r="B118" s="12"/>
      <c r="C118" s="12"/>
      <c r="D118" s="12"/>
    </row>
    <row r="119">
      <c r="A119" s="59"/>
      <c r="B119" s="12"/>
      <c r="C119" s="12"/>
      <c r="D119" s="12"/>
    </row>
    <row r="120">
      <c r="A120" s="59"/>
      <c r="B120" s="12"/>
      <c r="C120" s="12"/>
      <c r="D120" s="12"/>
    </row>
    <row r="121">
      <c r="A121" s="59"/>
      <c r="B121" s="12"/>
      <c r="C121" s="12"/>
      <c r="D121" s="12"/>
    </row>
    <row r="122">
      <c r="A122" s="59"/>
      <c r="B122" s="12"/>
      <c r="C122" s="12"/>
      <c r="D122" s="12"/>
    </row>
    <row r="123">
      <c r="A123" s="59"/>
      <c r="B123" s="12"/>
      <c r="C123" s="12"/>
      <c r="D123" s="12"/>
    </row>
    <row r="124">
      <c r="A124" s="59"/>
      <c r="B124" s="12"/>
      <c r="C124" s="12"/>
      <c r="D124" s="12"/>
    </row>
    <row r="125">
      <c r="A125" s="59"/>
      <c r="B125" s="12"/>
      <c r="C125" s="12"/>
      <c r="D125" s="12"/>
    </row>
    <row r="126">
      <c r="A126" s="59"/>
      <c r="B126" s="12"/>
      <c r="C126" s="12"/>
      <c r="D126" s="12"/>
    </row>
    <row r="127">
      <c r="A127" s="59"/>
      <c r="B127" s="12"/>
      <c r="C127" s="12"/>
      <c r="D127" s="12"/>
    </row>
    <row r="128">
      <c r="A128" s="59"/>
      <c r="B128" s="12"/>
      <c r="C128" s="12"/>
      <c r="D128" s="12"/>
    </row>
    <row r="129">
      <c r="A129" s="59"/>
      <c r="B129" s="12"/>
      <c r="C129" s="12"/>
      <c r="D129" s="12"/>
    </row>
    <row r="130">
      <c r="A130" s="59"/>
      <c r="B130" s="12"/>
      <c r="C130" s="12"/>
      <c r="D130" s="12"/>
    </row>
    <row r="131">
      <c r="A131" s="59"/>
      <c r="B131" s="12"/>
      <c r="C131" s="12"/>
      <c r="D131" s="12"/>
    </row>
    <row r="132">
      <c r="A132" s="59"/>
      <c r="B132" s="12"/>
      <c r="C132" s="12"/>
      <c r="D132" s="12"/>
    </row>
    <row r="133">
      <c r="A133" s="59"/>
      <c r="B133" s="12"/>
      <c r="C133" s="12"/>
      <c r="D133" s="12"/>
    </row>
    <row r="134">
      <c r="A134" s="59"/>
      <c r="B134" s="12"/>
      <c r="C134" s="12"/>
      <c r="D134" s="12"/>
    </row>
    <row r="135">
      <c r="A135" s="59"/>
      <c r="B135" s="12"/>
      <c r="C135" s="12"/>
      <c r="D135" s="12"/>
    </row>
    <row r="136">
      <c r="A136" s="59"/>
      <c r="B136" s="12"/>
      <c r="C136" s="12"/>
      <c r="D136" s="12"/>
    </row>
    <row r="137">
      <c r="A137" s="59"/>
      <c r="B137" s="12"/>
      <c r="C137" s="12"/>
      <c r="D137" s="12"/>
    </row>
    <row r="138">
      <c r="A138" s="59"/>
      <c r="B138" s="12"/>
      <c r="C138" s="12"/>
      <c r="D138" s="12"/>
    </row>
    <row r="139">
      <c r="A139" s="59"/>
      <c r="B139" s="12"/>
      <c r="C139" s="12"/>
      <c r="D139" s="12"/>
    </row>
    <row r="140">
      <c r="A140" s="59"/>
      <c r="B140" s="12"/>
      <c r="C140" s="12"/>
      <c r="D140" s="12"/>
    </row>
    <row r="141">
      <c r="A141" s="59"/>
      <c r="B141" s="12"/>
      <c r="C141" s="12"/>
      <c r="D141" s="12"/>
    </row>
    <row r="142">
      <c r="A142" s="59"/>
      <c r="B142" s="12"/>
      <c r="C142" s="12"/>
      <c r="D142" s="12"/>
    </row>
    <row r="143">
      <c r="A143" s="59"/>
      <c r="B143" s="12"/>
      <c r="C143" s="12"/>
      <c r="D143" s="12"/>
    </row>
    <row r="144">
      <c r="A144" s="59"/>
      <c r="B144" s="12"/>
      <c r="C144" s="12"/>
      <c r="D144" s="12"/>
    </row>
    <row r="145">
      <c r="A145" s="59"/>
      <c r="B145" s="12"/>
      <c r="C145" s="12"/>
      <c r="D145" s="12"/>
    </row>
    <row r="146">
      <c r="A146" s="59"/>
      <c r="B146" s="12"/>
      <c r="C146" s="12"/>
      <c r="D146" s="12"/>
    </row>
    <row r="147">
      <c r="A147" s="59"/>
      <c r="B147" s="12"/>
      <c r="C147" s="12"/>
      <c r="D147" s="12"/>
    </row>
    <row r="148">
      <c r="A148" s="59"/>
      <c r="B148" s="12"/>
      <c r="C148" s="12"/>
      <c r="D148" s="12"/>
    </row>
    <row r="149">
      <c r="A149" s="59"/>
      <c r="B149" s="12"/>
      <c r="C149" s="12"/>
      <c r="D149" s="12"/>
    </row>
    <row r="150">
      <c r="A150" s="59"/>
      <c r="B150" s="12"/>
      <c r="C150" s="12"/>
      <c r="D150" s="12"/>
    </row>
    <row r="151">
      <c r="A151" s="59"/>
      <c r="B151" s="12"/>
      <c r="C151" s="12"/>
      <c r="D151" s="12"/>
    </row>
    <row r="152">
      <c r="A152" s="59"/>
      <c r="B152" s="12"/>
      <c r="C152" s="12"/>
      <c r="D152" s="12"/>
    </row>
    <row r="153">
      <c r="A153" s="59"/>
      <c r="B153" s="12"/>
      <c r="C153" s="12"/>
      <c r="D153" s="12"/>
    </row>
    <row r="154">
      <c r="A154" s="59"/>
      <c r="B154" s="12"/>
      <c r="C154" s="12"/>
      <c r="D154" s="12"/>
    </row>
    <row r="155">
      <c r="A155" s="59"/>
      <c r="B155" s="12"/>
      <c r="C155" s="12"/>
      <c r="D155" s="12"/>
    </row>
    <row r="156">
      <c r="A156" s="59"/>
      <c r="B156" s="12"/>
      <c r="C156" s="12"/>
      <c r="D156" s="12"/>
    </row>
    <row r="157">
      <c r="A157" s="59"/>
      <c r="B157" s="12"/>
      <c r="C157" s="12"/>
      <c r="D157" s="12"/>
    </row>
    <row r="158">
      <c r="A158" s="59"/>
      <c r="B158" s="12"/>
      <c r="C158" s="12"/>
      <c r="D158" s="12"/>
    </row>
    <row r="159">
      <c r="A159" s="59"/>
      <c r="B159" s="12"/>
      <c r="C159" s="12"/>
      <c r="D159" s="12"/>
    </row>
    <row r="160">
      <c r="A160" s="59"/>
      <c r="B160" s="12"/>
      <c r="C160" s="12"/>
      <c r="D160" s="12"/>
    </row>
    <row r="161">
      <c r="A161" s="59"/>
      <c r="B161" s="12"/>
      <c r="C161" s="12"/>
      <c r="D161" s="12"/>
    </row>
    <row r="162">
      <c r="A162" s="59"/>
      <c r="B162" s="12"/>
      <c r="C162" s="12"/>
      <c r="D162" s="12"/>
    </row>
    <row r="163">
      <c r="A163" s="59"/>
      <c r="B163" s="12"/>
      <c r="C163" s="12"/>
      <c r="D163" s="12"/>
    </row>
    <row r="164">
      <c r="A164" s="59"/>
      <c r="B164" s="12"/>
      <c r="C164" s="12"/>
      <c r="D164" s="12"/>
    </row>
    <row r="165">
      <c r="A165" s="59"/>
      <c r="B165" s="12"/>
      <c r="C165" s="12"/>
      <c r="D165" s="12"/>
    </row>
    <row r="166">
      <c r="A166" s="59"/>
      <c r="B166" s="12"/>
      <c r="C166" s="12"/>
      <c r="D166" s="12"/>
    </row>
    <row r="167">
      <c r="A167" s="59"/>
      <c r="B167" s="12"/>
      <c r="C167" s="12"/>
      <c r="D167" s="12"/>
    </row>
    <row r="168">
      <c r="A168" s="59"/>
      <c r="B168" s="12"/>
      <c r="C168" s="12"/>
      <c r="D168" s="12"/>
    </row>
    <row r="169">
      <c r="A169" s="59"/>
      <c r="B169" s="12"/>
      <c r="C169" s="12"/>
      <c r="D169" s="12"/>
    </row>
    <row r="170">
      <c r="A170" s="59"/>
      <c r="B170" s="12"/>
      <c r="C170" s="12"/>
      <c r="D170" s="12"/>
    </row>
    <row r="171">
      <c r="A171" s="59"/>
      <c r="B171" s="12"/>
      <c r="C171" s="12"/>
      <c r="D171" s="12"/>
    </row>
    <row r="172">
      <c r="A172" s="59"/>
      <c r="B172" s="12"/>
      <c r="C172" s="12"/>
      <c r="D172" s="12"/>
    </row>
    <row r="173">
      <c r="A173" s="59"/>
      <c r="B173" s="12"/>
      <c r="C173" s="12"/>
      <c r="D173" s="12"/>
    </row>
    <row r="174">
      <c r="A174" s="59"/>
      <c r="B174" s="12"/>
      <c r="C174" s="12"/>
      <c r="D174" s="12"/>
    </row>
    <row r="175">
      <c r="A175" s="59"/>
      <c r="B175" s="12"/>
      <c r="C175" s="12"/>
      <c r="D175" s="12"/>
    </row>
    <row r="176">
      <c r="A176" s="59"/>
      <c r="B176" s="12"/>
      <c r="C176" s="12"/>
      <c r="D176" s="12"/>
    </row>
    <row r="177">
      <c r="A177" s="59"/>
      <c r="B177" s="12"/>
      <c r="C177" s="12"/>
      <c r="D177" s="12"/>
    </row>
    <row r="178">
      <c r="A178" s="59"/>
      <c r="B178" s="12"/>
      <c r="C178" s="12"/>
      <c r="D178" s="12"/>
    </row>
    <row r="179">
      <c r="A179" s="59"/>
      <c r="B179" s="12"/>
      <c r="C179" s="12"/>
      <c r="D179" s="12"/>
    </row>
    <row r="180">
      <c r="A180" s="59"/>
      <c r="B180" s="12"/>
      <c r="C180" s="12"/>
      <c r="D180" s="12"/>
    </row>
    <row r="181">
      <c r="A181" s="59"/>
      <c r="B181" s="12"/>
      <c r="C181" s="12"/>
      <c r="D181" s="12"/>
    </row>
    <row r="182">
      <c r="A182" s="59"/>
      <c r="B182" s="12"/>
      <c r="C182" s="12"/>
      <c r="D182" s="12"/>
    </row>
    <row r="183">
      <c r="A183" s="59"/>
      <c r="B183" s="12"/>
      <c r="C183" s="12"/>
      <c r="D183" s="12"/>
    </row>
    <row r="184">
      <c r="A184" s="59"/>
      <c r="B184" s="12"/>
      <c r="C184" s="12"/>
      <c r="D184" s="12"/>
    </row>
    <row r="185">
      <c r="A185" s="59"/>
      <c r="B185" s="12"/>
      <c r="C185" s="12"/>
      <c r="D185" s="12"/>
    </row>
    <row r="186">
      <c r="A186" s="59"/>
      <c r="B186" s="12"/>
      <c r="C186" s="12"/>
      <c r="D186" s="12"/>
    </row>
    <row r="187">
      <c r="A187" s="59"/>
      <c r="B187" s="12"/>
      <c r="C187" s="12"/>
      <c r="D187" s="12"/>
    </row>
    <row r="188">
      <c r="A188" s="59"/>
      <c r="B188" s="12"/>
      <c r="C188" s="12"/>
      <c r="D188" s="12"/>
    </row>
    <row r="189">
      <c r="A189" s="59"/>
      <c r="B189" s="12"/>
      <c r="C189" s="12"/>
      <c r="D189" s="12"/>
    </row>
    <row r="190">
      <c r="A190" s="59"/>
      <c r="B190" s="12"/>
      <c r="C190" s="12"/>
      <c r="D190" s="12"/>
    </row>
    <row r="191">
      <c r="A191" s="59"/>
      <c r="B191" s="12"/>
      <c r="C191" s="12"/>
      <c r="D191" s="12"/>
    </row>
    <row r="192">
      <c r="A192" s="59"/>
      <c r="B192" s="12"/>
      <c r="C192" s="12"/>
      <c r="D192" s="12"/>
    </row>
    <row r="193">
      <c r="A193" s="59"/>
      <c r="B193" s="12"/>
      <c r="C193" s="12"/>
      <c r="D193" s="12"/>
    </row>
    <row r="194">
      <c r="A194" s="59"/>
      <c r="B194" s="12"/>
      <c r="C194" s="12"/>
      <c r="D194" s="12"/>
    </row>
    <row r="195">
      <c r="A195" s="59"/>
      <c r="B195" s="12"/>
      <c r="C195" s="12"/>
      <c r="D195" s="12"/>
    </row>
    <row r="196">
      <c r="A196" s="59"/>
      <c r="B196" s="12"/>
      <c r="C196" s="12"/>
      <c r="D196" s="12"/>
    </row>
    <row r="197">
      <c r="A197" s="59"/>
      <c r="B197" s="12"/>
      <c r="C197" s="12"/>
      <c r="D197" s="12"/>
    </row>
    <row r="198">
      <c r="A198" s="59"/>
      <c r="B198" s="12"/>
      <c r="C198" s="12"/>
      <c r="D198" s="12"/>
    </row>
    <row r="199">
      <c r="A199" s="59"/>
      <c r="B199" s="12"/>
      <c r="C199" s="12"/>
      <c r="D199" s="12"/>
    </row>
    <row r="200">
      <c r="A200" s="59"/>
      <c r="B200" s="12"/>
      <c r="C200" s="12"/>
      <c r="D200" s="12"/>
    </row>
    <row r="201">
      <c r="A201" s="59"/>
      <c r="B201" s="12"/>
      <c r="C201" s="12"/>
      <c r="D201" s="12"/>
    </row>
    <row r="202">
      <c r="A202" s="59"/>
      <c r="B202" s="12"/>
      <c r="C202" s="12"/>
      <c r="D202" s="12"/>
    </row>
    <row r="203">
      <c r="A203" s="59"/>
      <c r="B203" s="12"/>
      <c r="C203" s="12"/>
      <c r="D203" s="12"/>
    </row>
    <row r="204">
      <c r="A204" s="59"/>
      <c r="B204" s="12"/>
      <c r="C204" s="12"/>
      <c r="D204" s="12"/>
    </row>
    <row r="205">
      <c r="A205" s="59"/>
      <c r="B205" s="12"/>
      <c r="C205" s="12"/>
      <c r="D205" s="12"/>
    </row>
    <row r="206">
      <c r="A206" s="59"/>
      <c r="B206" s="12"/>
      <c r="C206" s="12"/>
      <c r="D206" s="12"/>
    </row>
    <row r="207">
      <c r="A207" s="59"/>
      <c r="B207" s="12"/>
      <c r="C207" s="12"/>
      <c r="D207" s="12"/>
    </row>
    <row r="208">
      <c r="A208" s="59"/>
      <c r="B208" s="12"/>
      <c r="C208" s="12"/>
      <c r="D208" s="12"/>
    </row>
    <row r="209">
      <c r="A209" s="59"/>
      <c r="B209" s="12"/>
      <c r="C209" s="12"/>
      <c r="D209" s="12"/>
    </row>
    <row r="210">
      <c r="A210" s="59"/>
      <c r="B210" s="12"/>
      <c r="C210" s="12"/>
      <c r="D210" s="12"/>
    </row>
    <row r="211">
      <c r="A211" s="59"/>
      <c r="B211" s="12"/>
      <c r="C211" s="12"/>
      <c r="D211" s="12"/>
    </row>
    <row r="212">
      <c r="A212" s="59"/>
      <c r="B212" s="12"/>
      <c r="C212" s="12"/>
      <c r="D212" s="12"/>
    </row>
    <row r="213">
      <c r="A213" s="59"/>
      <c r="B213" s="12"/>
      <c r="C213" s="12"/>
      <c r="D213" s="12"/>
    </row>
    <row r="214">
      <c r="A214" s="59"/>
      <c r="B214" s="12"/>
      <c r="C214" s="12"/>
      <c r="D214" s="12"/>
    </row>
    <row r="215">
      <c r="A215" s="59"/>
      <c r="B215" s="12"/>
      <c r="C215" s="12"/>
      <c r="D215" s="12"/>
    </row>
    <row r="216">
      <c r="A216" s="59"/>
      <c r="B216" s="12"/>
      <c r="C216" s="12"/>
      <c r="D216" s="12"/>
    </row>
    <row r="217">
      <c r="A217" s="59"/>
      <c r="B217" s="12"/>
      <c r="C217" s="12"/>
      <c r="D217" s="12"/>
    </row>
    <row r="218">
      <c r="A218" s="59"/>
      <c r="B218" s="12"/>
      <c r="C218" s="12"/>
      <c r="D218" s="12"/>
    </row>
    <row r="219">
      <c r="A219" s="59"/>
      <c r="B219" s="12"/>
      <c r="C219" s="12"/>
      <c r="D219" s="12"/>
    </row>
    <row r="220">
      <c r="A220" s="59"/>
      <c r="B220" s="12"/>
      <c r="C220" s="12"/>
      <c r="D220" s="12"/>
    </row>
    <row r="221">
      <c r="A221" s="59"/>
      <c r="B221" s="12"/>
      <c r="C221" s="12"/>
      <c r="D221" s="12"/>
    </row>
    <row r="222">
      <c r="A222" s="59"/>
      <c r="B222" s="12"/>
      <c r="C222" s="12"/>
      <c r="D222" s="12"/>
    </row>
    <row r="223">
      <c r="A223" s="59"/>
      <c r="B223" s="12"/>
      <c r="C223" s="12"/>
      <c r="D223" s="12"/>
    </row>
    <row r="224">
      <c r="A224" s="59"/>
      <c r="B224" s="12"/>
      <c r="C224" s="12"/>
      <c r="D224" s="12"/>
    </row>
    <row r="225">
      <c r="A225" s="59"/>
      <c r="B225" s="12"/>
      <c r="C225" s="12"/>
      <c r="D225" s="12"/>
    </row>
    <row r="226">
      <c r="A226" s="59"/>
      <c r="B226" s="12"/>
      <c r="C226" s="12"/>
      <c r="D226" s="12"/>
    </row>
    <row r="227">
      <c r="A227" s="59"/>
      <c r="B227" s="12"/>
      <c r="C227" s="12"/>
      <c r="D227" s="12"/>
    </row>
    <row r="228">
      <c r="A228" s="59"/>
      <c r="B228" s="12"/>
      <c r="C228" s="12"/>
      <c r="D228" s="12"/>
    </row>
    <row r="229">
      <c r="A229" s="59"/>
      <c r="B229" s="12"/>
      <c r="C229" s="12"/>
      <c r="D229" s="12"/>
    </row>
    <row r="230">
      <c r="A230" s="59"/>
      <c r="B230" s="12"/>
      <c r="C230" s="12"/>
      <c r="D230" s="12"/>
    </row>
    <row r="231">
      <c r="A231" s="59"/>
      <c r="B231" s="12"/>
      <c r="C231" s="12"/>
      <c r="D231" s="12"/>
    </row>
    <row r="232">
      <c r="A232" s="59"/>
      <c r="B232" s="12"/>
      <c r="C232" s="12"/>
      <c r="D232" s="12"/>
    </row>
    <row r="233">
      <c r="A233" s="59"/>
      <c r="B233" s="12"/>
      <c r="C233" s="12"/>
      <c r="D233" s="12"/>
    </row>
    <row r="234">
      <c r="A234" s="59"/>
      <c r="B234" s="12"/>
      <c r="C234" s="12"/>
      <c r="D234" s="12"/>
    </row>
    <row r="235">
      <c r="A235" s="59"/>
      <c r="B235" s="12"/>
      <c r="C235" s="12"/>
      <c r="D235" s="12"/>
    </row>
    <row r="236">
      <c r="A236" s="59"/>
      <c r="B236" s="12"/>
      <c r="C236" s="12"/>
      <c r="D236" s="12"/>
    </row>
    <row r="237">
      <c r="A237" s="59"/>
      <c r="B237" s="12"/>
      <c r="C237" s="12"/>
      <c r="D237" s="12"/>
    </row>
    <row r="238">
      <c r="A238" s="59"/>
      <c r="B238" s="12"/>
      <c r="C238" s="12"/>
      <c r="D238" s="12"/>
    </row>
    <row r="239">
      <c r="A239" s="59"/>
      <c r="B239" s="12"/>
      <c r="C239" s="12"/>
      <c r="D239" s="12"/>
    </row>
    <row r="240">
      <c r="A240" s="59"/>
      <c r="B240" s="12"/>
      <c r="C240" s="12"/>
      <c r="D240" s="12"/>
    </row>
    <row r="241">
      <c r="A241" s="59"/>
      <c r="B241" s="12"/>
      <c r="C241" s="12"/>
      <c r="D241" s="12"/>
    </row>
    <row r="242">
      <c r="A242" s="59"/>
      <c r="B242" s="12"/>
      <c r="C242" s="12"/>
      <c r="D242" s="12"/>
    </row>
    <row r="243">
      <c r="A243" s="59"/>
      <c r="B243" s="12"/>
      <c r="C243" s="12"/>
      <c r="D243" s="12"/>
    </row>
    <row r="244">
      <c r="A244" s="59"/>
      <c r="B244" s="12"/>
      <c r="C244" s="12"/>
      <c r="D244" s="12"/>
    </row>
    <row r="245">
      <c r="A245" s="59"/>
      <c r="B245" s="12"/>
      <c r="C245" s="12"/>
      <c r="D245" s="12"/>
    </row>
    <row r="246">
      <c r="A246" s="59"/>
      <c r="B246" s="12"/>
      <c r="C246" s="12"/>
      <c r="D246" s="12"/>
    </row>
    <row r="247">
      <c r="A247" s="59"/>
      <c r="B247" s="12"/>
      <c r="C247" s="12"/>
      <c r="D247" s="12"/>
    </row>
    <row r="248">
      <c r="A248" s="59"/>
      <c r="B248" s="12"/>
      <c r="C248" s="12"/>
      <c r="D248" s="12"/>
    </row>
    <row r="249">
      <c r="A249" s="59"/>
      <c r="B249" s="12"/>
      <c r="C249" s="12"/>
      <c r="D249" s="12"/>
    </row>
    <row r="250">
      <c r="A250" s="59"/>
      <c r="B250" s="12"/>
      <c r="C250" s="12"/>
      <c r="D250" s="12"/>
    </row>
    <row r="251">
      <c r="A251" s="59"/>
      <c r="B251" s="12"/>
      <c r="C251" s="12"/>
      <c r="D251" s="12"/>
    </row>
    <row r="252">
      <c r="A252" s="59"/>
      <c r="B252" s="12"/>
      <c r="C252" s="12"/>
      <c r="D252" s="12"/>
    </row>
    <row r="253">
      <c r="A253" s="59"/>
      <c r="B253" s="12"/>
      <c r="C253" s="12"/>
      <c r="D253" s="12"/>
    </row>
    <row r="254">
      <c r="A254" s="59"/>
      <c r="B254" s="12"/>
      <c r="C254" s="12"/>
      <c r="D254" s="12"/>
    </row>
    <row r="255">
      <c r="A255" s="59"/>
      <c r="B255" s="12"/>
      <c r="C255" s="12"/>
      <c r="D255" s="12"/>
    </row>
    <row r="256">
      <c r="A256" s="59"/>
      <c r="B256" s="12"/>
      <c r="C256" s="12"/>
      <c r="D256" s="12"/>
    </row>
    <row r="257">
      <c r="A257" s="59"/>
      <c r="B257" s="12"/>
      <c r="C257" s="12"/>
      <c r="D257" s="12"/>
    </row>
    <row r="258">
      <c r="A258" s="59"/>
      <c r="B258" s="12"/>
      <c r="C258" s="12"/>
      <c r="D258" s="12"/>
    </row>
    <row r="259">
      <c r="A259" s="59"/>
      <c r="B259" s="12"/>
      <c r="C259" s="12"/>
      <c r="D259" s="12"/>
    </row>
    <row r="260">
      <c r="A260" s="59"/>
      <c r="B260" s="12"/>
      <c r="C260" s="12"/>
      <c r="D260" s="12"/>
    </row>
    <row r="261">
      <c r="A261" s="59"/>
      <c r="B261" s="12"/>
      <c r="C261" s="12"/>
      <c r="D261" s="12"/>
    </row>
    <row r="262">
      <c r="A262" s="59"/>
      <c r="B262" s="12"/>
      <c r="C262" s="12"/>
      <c r="D262" s="12"/>
    </row>
    <row r="263">
      <c r="A263" s="59"/>
      <c r="B263" s="12"/>
      <c r="C263" s="12"/>
      <c r="D263" s="12"/>
    </row>
    <row r="264">
      <c r="A264" s="59"/>
      <c r="B264" s="12"/>
      <c r="C264" s="12"/>
      <c r="D264" s="12"/>
    </row>
    <row r="265">
      <c r="A265" s="59"/>
      <c r="B265" s="12"/>
      <c r="C265" s="12"/>
      <c r="D265" s="12"/>
    </row>
    <row r="266">
      <c r="A266" s="59"/>
      <c r="B266" s="12"/>
      <c r="C266" s="12"/>
      <c r="D266" s="12"/>
    </row>
    <row r="267">
      <c r="A267" s="59"/>
      <c r="B267" s="12"/>
      <c r="C267" s="12"/>
      <c r="D267" s="12"/>
    </row>
    <row r="268">
      <c r="A268" s="59"/>
      <c r="B268" s="12"/>
      <c r="C268" s="12"/>
      <c r="D268" s="12"/>
    </row>
    <row r="269">
      <c r="A269" s="59"/>
      <c r="B269" s="12"/>
      <c r="C269" s="12"/>
      <c r="D269" s="12"/>
    </row>
    <row r="270">
      <c r="A270" s="59"/>
      <c r="B270" s="12"/>
      <c r="C270" s="12"/>
      <c r="D270" s="12"/>
    </row>
    <row r="271">
      <c r="A271" s="59"/>
      <c r="B271" s="12"/>
      <c r="C271" s="12"/>
      <c r="D271" s="12"/>
    </row>
    <row r="272">
      <c r="A272" s="59"/>
      <c r="B272" s="12"/>
      <c r="C272" s="12"/>
      <c r="D272" s="12"/>
    </row>
    <row r="273">
      <c r="A273" s="59"/>
      <c r="B273" s="12"/>
      <c r="C273" s="12"/>
      <c r="D273" s="12"/>
    </row>
    <row r="274">
      <c r="A274" s="59"/>
      <c r="B274" s="12"/>
      <c r="C274" s="12"/>
      <c r="D274" s="12"/>
    </row>
    <row r="275">
      <c r="A275" s="59"/>
      <c r="B275" s="12"/>
      <c r="C275" s="12"/>
      <c r="D275" s="12"/>
    </row>
    <row r="276">
      <c r="A276" s="59"/>
      <c r="B276" s="12"/>
      <c r="C276" s="12"/>
      <c r="D276" s="12"/>
    </row>
    <row r="277">
      <c r="A277" s="59"/>
      <c r="B277" s="12"/>
      <c r="C277" s="12"/>
      <c r="D277" s="12"/>
    </row>
    <row r="278">
      <c r="A278" s="59"/>
      <c r="B278" s="12"/>
      <c r="C278" s="12"/>
      <c r="D278" s="12"/>
    </row>
    <row r="279">
      <c r="A279" s="59"/>
      <c r="B279" s="12"/>
      <c r="C279" s="12"/>
      <c r="D279" s="12"/>
    </row>
    <row r="280">
      <c r="A280" s="59"/>
      <c r="B280" s="12"/>
      <c r="C280" s="12"/>
      <c r="D280" s="12"/>
    </row>
    <row r="281">
      <c r="A281" s="59"/>
      <c r="B281" s="12"/>
      <c r="C281" s="12"/>
      <c r="D281" s="12"/>
    </row>
    <row r="282">
      <c r="A282" s="59"/>
      <c r="B282" s="12"/>
      <c r="C282" s="12"/>
      <c r="D282" s="12"/>
    </row>
    <row r="283">
      <c r="A283" s="59"/>
      <c r="B283" s="12"/>
      <c r="C283" s="12"/>
      <c r="D283" s="12"/>
    </row>
    <row r="284">
      <c r="A284" s="59"/>
      <c r="B284" s="12"/>
      <c r="C284" s="12"/>
      <c r="D284" s="12"/>
    </row>
    <row r="285">
      <c r="A285" s="59"/>
      <c r="B285" s="12"/>
      <c r="C285" s="12"/>
      <c r="D285" s="12"/>
    </row>
    <row r="286">
      <c r="A286" s="59"/>
      <c r="B286" s="12"/>
      <c r="C286" s="12"/>
      <c r="D286" s="12"/>
    </row>
    <row r="287">
      <c r="A287" s="59"/>
      <c r="B287" s="12"/>
      <c r="C287" s="12"/>
      <c r="D287" s="12"/>
    </row>
    <row r="288">
      <c r="A288" s="59"/>
      <c r="B288" s="12"/>
      <c r="C288" s="12"/>
      <c r="D288" s="12"/>
    </row>
    <row r="289">
      <c r="A289" s="59"/>
      <c r="B289" s="12"/>
      <c r="C289" s="12"/>
      <c r="D289" s="12"/>
    </row>
    <row r="290">
      <c r="A290" s="59"/>
      <c r="B290" s="12"/>
      <c r="C290" s="12"/>
      <c r="D290" s="12"/>
    </row>
    <row r="291">
      <c r="A291" s="59"/>
      <c r="B291" s="12"/>
      <c r="C291" s="12"/>
      <c r="D291" s="12"/>
    </row>
    <row r="292">
      <c r="A292" s="59"/>
      <c r="B292" s="12"/>
      <c r="C292" s="12"/>
      <c r="D292" s="12"/>
    </row>
    <row r="293">
      <c r="A293" s="59"/>
      <c r="B293" s="12"/>
      <c r="C293" s="12"/>
      <c r="D293" s="12"/>
    </row>
    <row r="294">
      <c r="A294" s="59"/>
      <c r="B294" s="12"/>
      <c r="C294" s="12"/>
      <c r="D294" s="12"/>
    </row>
    <row r="295">
      <c r="A295" s="59"/>
      <c r="B295" s="12"/>
      <c r="C295" s="12"/>
      <c r="D295" s="12"/>
    </row>
    <row r="296">
      <c r="A296" s="59"/>
      <c r="B296" s="12"/>
      <c r="C296" s="12"/>
      <c r="D296" s="12"/>
    </row>
    <row r="297">
      <c r="A297" s="59"/>
      <c r="B297" s="12"/>
      <c r="C297" s="12"/>
      <c r="D297" s="12"/>
    </row>
    <row r="298">
      <c r="A298" s="59"/>
      <c r="B298" s="12"/>
      <c r="C298" s="12"/>
      <c r="D298" s="12"/>
    </row>
    <row r="299">
      <c r="A299" s="59"/>
      <c r="B299" s="12"/>
      <c r="C299" s="12"/>
      <c r="D299" s="12"/>
    </row>
    <row r="300">
      <c r="A300" s="59"/>
      <c r="B300" s="12"/>
      <c r="C300" s="12"/>
      <c r="D300" s="12"/>
    </row>
    <row r="301">
      <c r="A301" s="59"/>
      <c r="B301" s="12"/>
      <c r="C301" s="12"/>
      <c r="D301" s="12"/>
    </row>
    <row r="302">
      <c r="A302" s="59"/>
      <c r="B302" s="12"/>
      <c r="C302" s="12"/>
      <c r="D302" s="12"/>
    </row>
    <row r="303">
      <c r="A303" s="59"/>
      <c r="B303" s="12"/>
      <c r="C303" s="12"/>
      <c r="D303" s="12"/>
    </row>
    <row r="304">
      <c r="A304" s="59"/>
      <c r="B304" s="12"/>
      <c r="C304" s="12"/>
      <c r="D304" s="12"/>
    </row>
    <row r="305">
      <c r="A305" s="59"/>
      <c r="B305" s="12"/>
      <c r="C305" s="12"/>
      <c r="D305" s="12"/>
    </row>
    <row r="306">
      <c r="A306" s="59"/>
      <c r="B306" s="12"/>
      <c r="C306" s="12"/>
      <c r="D306" s="12"/>
    </row>
    <row r="307">
      <c r="A307" s="59"/>
      <c r="B307" s="12"/>
      <c r="C307" s="12"/>
      <c r="D307" s="12"/>
    </row>
    <row r="308">
      <c r="A308" s="59"/>
      <c r="B308" s="12"/>
      <c r="C308" s="12"/>
      <c r="D308" s="12"/>
    </row>
    <row r="309">
      <c r="A309" s="59"/>
      <c r="B309" s="12"/>
      <c r="C309" s="12"/>
      <c r="D309" s="12"/>
    </row>
    <row r="310">
      <c r="A310" s="59"/>
      <c r="B310" s="12"/>
      <c r="C310" s="12"/>
      <c r="D310" s="12"/>
    </row>
    <row r="311">
      <c r="A311" s="59"/>
      <c r="B311" s="12"/>
      <c r="C311" s="12"/>
      <c r="D311" s="12"/>
    </row>
    <row r="312">
      <c r="A312" s="59"/>
      <c r="B312" s="12"/>
      <c r="C312" s="12"/>
      <c r="D312" s="12"/>
    </row>
    <row r="313">
      <c r="A313" s="59"/>
      <c r="B313" s="12"/>
      <c r="C313" s="12"/>
      <c r="D313" s="12"/>
    </row>
    <row r="314">
      <c r="A314" s="59"/>
      <c r="B314" s="12"/>
      <c r="C314" s="12"/>
      <c r="D314" s="12"/>
    </row>
    <row r="315">
      <c r="A315" s="59"/>
      <c r="B315" s="12"/>
      <c r="C315" s="12"/>
      <c r="D315" s="12"/>
    </row>
    <row r="316">
      <c r="A316" s="59"/>
      <c r="B316" s="12"/>
      <c r="C316" s="12"/>
      <c r="D316" s="12"/>
    </row>
    <row r="317">
      <c r="A317" s="59"/>
      <c r="B317" s="12"/>
      <c r="C317" s="12"/>
      <c r="D317" s="12"/>
    </row>
    <row r="318">
      <c r="A318" s="59"/>
      <c r="B318" s="12"/>
      <c r="C318" s="12"/>
      <c r="D318" s="12"/>
    </row>
    <row r="319">
      <c r="A319" s="59"/>
      <c r="B319" s="12"/>
      <c r="C319" s="12"/>
      <c r="D319" s="12"/>
    </row>
    <row r="320">
      <c r="A320" s="59"/>
      <c r="B320" s="12"/>
      <c r="C320" s="12"/>
      <c r="D320" s="12"/>
    </row>
    <row r="321">
      <c r="A321" s="59"/>
      <c r="B321" s="12"/>
      <c r="C321" s="12"/>
      <c r="D321" s="12"/>
    </row>
    <row r="322">
      <c r="A322" s="59"/>
      <c r="B322" s="12"/>
      <c r="C322" s="12"/>
      <c r="D322" s="12"/>
    </row>
    <row r="323">
      <c r="A323" s="59"/>
      <c r="B323" s="12"/>
      <c r="C323" s="12"/>
      <c r="D323" s="12"/>
    </row>
    <row r="324">
      <c r="A324" s="59"/>
      <c r="B324" s="12"/>
      <c r="C324" s="12"/>
      <c r="D324" s="12"/>
    </row>
    <row r="325">
      <c r="A325" s="59"/>
      <c r="B325" s="12"/>
      <c r="C325" s="12"/>
      <c r="D325" s="12"/>
    </row>
    <row r="326">
      <c r="A326" s="59"/>
      <c r="B326" s="12"/>
      <c r="C326" s="12"/>
      <c r="D326" s="12"/>
    </row>
    <row r="327">
      <c r="A327" s="59"/>
      <c r="B327" s="12"/>
      <c r="C327" s="12"/>
      <c r="D327" s="12"/>
    </row>
    <row r="328">
      <c r="A328" s="59"/>
      <c r="B328" s="12"/>
      <c r="C328" s="12"/>
      <c r="D328" s="12"/>
    </row>
    <row r="329">
      <c r="A329" s="59"/>
      <c r="B329" s="12"/>
      <c r="C329" s="12"/>
      <c r="D329" s="12"/>
    </row>
    <row r="330">
      <c r="A330" s="59"/>
      <c r="B330" s="12"/>
      <c r="C330" s="12"/>
      <c r="D330" s="12"/>
    </row>
    <row r="331">
      <c r="A331" s="59"/>
      <c r="B331" s="12"/>
      <c r="C331" s="12"/>
      <c r="D331" s="12"/>
    </row>
    <row r="332">
      <c r="A332" s="59"/>
      <c r="B332" s="12"/>
      <c r="C332" s="12"/>
      <c r="D332" s="12"/>
    </row>
    <row r="333">
      <c r="A333" s="59"/>
      <c r="B333" s="12"/>
      <c r="C333" s="12"/>
      <c r="D333" s="12"/>
    </row>
    <row r="334">
      <c r="A334" s="59"/>
      <c r="B334" s="12"/>
      <c r="C334" s="12"/>
      <c r="D334" s="12"/>
    </row>
    <row r="335">
      <c r="A335" s="59"/>
      <c r="B335" s="12"/>
      <c r="C335" s="12"/>
      <c r="D335" s="12"/>
    </row>
    <row r="336">
      <c r="A336" s="59"/>
      <c r="B336" s="12"/>
      <c r="C336" s="12"/>
      <c r="D336" s="12"/>
    </row>
    <row r="337">
      <c r="A337" s="59"/>
      <c r="B337" s="12"/>
      <c r="C337" s="12"/>
      <c r="D337" s="12"/>
    </row>
    <row r="338">
      <c r="A338" s="59"/>
      <c r="B338" s="12"/>
      <c r="C338" s="12"/>
      <c r="D338" s="12"/>
    </row>
    <row r="339">
      <c r="A339" s="59"/>
      <c r="B339" s="12"/>
      <c r="C339" s="12"/>
      <c r="D339" s="12"/>
    </row>
    <row r="340">
      <c r="A340" s="59"/>
      <c r="B340" s="12"/>
      <c r="C340" s="12"/>
      <c r="D340" s="12"/>
    </row>
    <row r="341">
      <c r="A341" s="59"/>
      <c r="B341" s="12"/>
      <c r="C341" s="12"/>
      <c r="D341" s="12"/>
    </row>
    <row r="342">
      <c r="A342" s="59"/>
      <c r="B342" s="12"/>
      <c r="C342" s="12"/>
      <c r="D342" s="12"/>
    </row>
    <row r="343">
      <c r="A343" s="59"/>
      <c r="B343" s="12"/>
      <c r="C343" s="12"/>
      <c r="D343" s="12"/>
    </row>
    <row r="344">
      <c r="A344" s="59"/>
      <c r="B344" s="12"/>
      <c r="C344" s="12"/>
      <c r="D344" s="12"/>
    </row>
    <row r="345">
      <c r="A345" s="59"/>
      <c r="B345" s="12"/>
      <c r="C345" s="12"/>
      <c r="D345" s="12"/>
    </row>
    <row r="346">
      <c r="A346" s="59"/>
      <c r="B346" s="12"/>
      <c r="C346" s="12"/>
      <c r="D346" s="12"/>
    </row>
    <row r="347">
      <c r="A347" s="59"/>
      <c r="B347" s="12"/>
      <c r="C347" s="12"/>
      <c r="D347" s="12"/>
    </row>
    <row r="348">
      <c r="A348" s="59"/>
      <c r="B348" s="12"/>
      <c r="C348" s="12"/>
      <c r="D348" s="12"/>
    </row>
    <row r="349">
      <c r="A349" s="59"/>
      <c r="B349" s="12"/>
      <c r="C349" s="12"/>
      <c r="D349" s="12"/>
    </row>
    <row r="350">
      <c r="A350" s="59"/>
      <c r="B350" s="12"/>
      <c r="C350" s="12"/>
      <c r="D350" s="12"/>
    </row>
    <row r="351">
      <c r="A351" s="59"/>
      <c r="B351" s="12"/>
      <c r="C351" s="12"/>
      <c r="D351" s="12"/>
    </row>
    <row r="352">
      <c r="A352" s="59"/>
      <c r="B352" s="12"/>
      <c r="C352" s="12"/>
      <c r="D352" s="12"/>
    </row>
    <row r="353">
      <c r="A353" s="59"/>
      <c r="B353" s="12"/>
      <c r="C353" s="12"/>
      <c r="D353" s="12"/>
    </row>
    <row r="354">
      <c r="A354" s="59"/>
      <c r="B354" s="12"/>
      <c r="C354" s="12"/>
      <c r="D354" s="12"/>
    </row>
    <row r="355">
      <c r="A355" s="59"/>
      <c r="B355" s="12"/>
      <c r="C355" s="12"/>
      <c r="D355" s="12"/>
    </row>
    <row r="356">
      <c r="A356" s="59"/>
      <c r="B356" s="12"/>
      <c r="C356" s="12"/>
      <c r="D356" s="12"/>
    </row>
    <row r="357">
      <c r="A357" s="59"/>
      <c r="B357" s="12"/>
      <c r="C357" s="12"/>
      <c r="D357" s="12"/>
    </row>
    <row r="358">
      <c r="A358" s="59"/>
      <c r="B358" s="12"/>
      <c r="C358" s="12"/>
      <c r="D358" s="12"/>
    </row>
    <row r="359">
      <c r="A359" s="59"/>
      <c r="B359" s="12"/>
      <c r="C359" s="12"/>
      <c r="D359" s="12"/>
    </row>
    <row r="360">
      <c r="A360" s="59"/>
      <c r="B360" s="12"/>
      <c r="C360" s="12"/>
      <c r="D360" s="12"/>
    </row>
    <row r="361">
      <c r="A361" s="59"/>
      <c r="B361" s="12"/>
      <c r="C361" s="12"/>
      <c r="D361" s="12"/>
    </row>
    <row r="362">
      <c r="A362" s="59"/>
      <c r="B362" s="12"/>
      <c r="C362" s="12"/>
      <c r="D362" s="12"/>
    </row>
    <row r="363">
      <c r="A363" s="59"/>
      <c r="B363" s="12"/>
      <c r="C363" s="12"/>
      <c r="D363" s="12"/>
    </row>
    <row r="364">
      <c r="A364" s="59"/>
      <c r="B364" s="12"/>
      <c r="C364" s="12"/>
      <c r="D364" s="12"/>
    </row>
    <row r="365">
      <c r="A365" s="59"/>
      <c r="B365" s="12"/>
      <c r="C365" s="12"/>
      <c r="D365" s="12"/>
    </row>
    <row r="366">
      <c r="A366" s="59"/>
      <c r="B366" s="12"/>
      <c r="C366" s="12"/>
      <c r="D366" s="12"/>
    </row>
    <row r="367">
      <c r="A367" s="59"/>
      <c r="B367" s="12"/>
      <c r="C367" s="12"/>
      <c r="D367" s="12"/>
    </row>
    <row r="368">
      <c r="A368" s="59"/>
      <c r="B368" s="12"/>
      <c r="C368" s="12"/>
      <c r="D368" s="12"/>
    </row>
    <row r="369">
      <c r="A369" s="59"/>
      <c r="B369" s="12"/>
      <c r="C369" s="12"/>
      <c r="D369" s="12"/>
    </row>
    <row r="370">
      <c r="A370" s="59"/>
      <c r="B370" s="12"/>
      <c r="C370" s="12"/>
      <c r="D370" s="12"/>
    </row>
    <row r="371">
      <c r="A371" s="59"/>
      <c r="B371" s="12"/>
      <c r="C371" s="12"/>
      <c r="D371" s="12"/>
    </row>
    <row r="372">
      <c r="A372" s="59"/>
      <c r="B372" s="12"/>
      <c r="C372" s="12"/>
      <c r="D372" s="12"/>
    </row>
    <row r="373">
      <c r="A373" s="59"/>
      <c r="B373" s="12"/>
      <c r="C373" s="12"/>
      <c r="D373" s="12"/>
    </row>
    <row r="374">
      <c r="A374" s="59"/>
      <c r="B374" s="12"/>
      <c r="C374" s="12"/>
      <c r="D374" s="12"/>
    </row>
    <row r="375">
      <c r="A375" s="59"/>
      <c r="B375" s="12"/>
      <c r="C375" s="12"/>
      <c r="D375" s="12"/>
    </row>
    <row r="376">
      <c r="A376" s="59"/>
      <c r="B376" s="12"/>
      <c r="C376" s="12"/>
      <c r="D376" s="12"/>
    </row>
    <row r="377">
      <c r="A377" s="59"/>
      <c r="B377" s="12"/>
      <c r="C377" s="12"/>
      <c r="D377" s="12"/>
    </row>
    <row r="378">
      <c r="A378" s="59"/>
      <c r="B378" s="12"/>
      <c r="C378" s="12"/>
      <c r="D378" s="12"/>
    </row>
    <row r="379">
      <c r="A379" s="59"/>
      <c r="B379" s="12"/>
      <c r="C379" s="12"/>
      <c r="D379" s="12"/>
    </row>
    <row r="380">
      <c r="A380" s="59"/>
      <c r="B380" s="12"/>
      <c r="C380" s="12"/>
      <c r="D380" s="12"/>
    </row>
    <row r="381">
      <c r="A381" s="59"/>
      <c r="B381" s="12"/>
      <c r="C381" s="12"/>
      <c r="D381" s="12"/>
    </row>
    <row r="382">
      <c r="A382" s="59"/>
      <c r="B382" s="12"/>
      <c r="C382" s="12"/>
      <c r="D382" s="12"/>
    </row>
    <row r="383">
      <c r="A383" s="59"/>
      <c r="B383" s="12"/>
      <c r="C383" s="12"/>
      <c r="D383" s="12"/>
    </row>
    <row r="384">
      <c r="A384" s="59"/>
      <c r="B384" s="12"/>
      <c r="C384" s="12"/>
      <c r="D384" s="12"/>
    </row>
    <row r="385">
      <c r="A385" s="59"/>
      <c r="B385" s="12"/>
      <c r="C385" s="12"/>
      <c r="D385" s="12"/>
    </row>
    <row r="386">
      <c r="A386" s="59"/>
      <c r="B386" s="12"/>
      <c r="C386" s="12"/>
      <c r="D386" s="12"/>
    </row>
    <row r="387">
      <c r="A387" s="59"/>
      <c r="B387" s="12"/>
      <c r="C387" s="12"/>
      <c r="D387" s="12"/>
    </row>
    <row r="388">
      <c r="A388" s="59"/>
      <c r="B388" s="12"/>
      <c r="C388" s="12"/>
      <c r="D388" s="12"/>
    </row>
    <row r="389">
      <c r="A389" s="59"/>
      <c r="B389" s="12"/>
      <c r="C389" s="12"/>
      <c r="D389" s="12"/>
    </row>
    <row r="390">
      <c r="A390" s="59"/>
      <c r="B390" s="12"/>
      <c r="C390" s="12"/>
      <c r="D390" s="12"/>
    </row>
    <row r="391">
      <c r="A391" s="59"/>
      <c r="B391" s="12"/>
      <c r="C391" s="12"/>
      <c r="D391" s="12"/>
    </row>
    <row r="392">
      <c r="A392" s="59"/>
      <c r="B392" s="12"/>
      <c r="C392" s="12"/>
      <c r="D392" s="12"/>
    </row>
    <row r="393">
      <c r="A393" s="59"/>
      <c r="B393" s="12"/>
      <c r="C393" s="12"/>
      <c r="D393" s="12"/>
    </row>
    <row r="394">
      <c r="A394" s="59"/>
      <c r="B394" s="12"/>
      <c r="C394" s="12"/>
      <c r="D394" s="12"/>
    </row>
    <row r="395">
      <c r="A395" s="59"/>
      <c r="B395" s="12"/>
      <c r="C395" s="12"/>
      <c r="D395" s="12"/>
    </row>
    <row r="396">
      <c r="A396" s="59"/>
      <c r="B396" s="12"/>
      <c r="C396" s="12"/>
      <c r="D396" s="12"/>
    </row>
    <row r="397">
      <c r="A397" s="59"/>
      <c r="B397" s="12"/>
      <c r="C397" s="12"/>
      <c r="D397" s="12"/>
    </row>
    <row r="398">
      <c r="A398" s="59"/>
      <c r="B398" s="12"/>
      <c r="C398" s="12"/>
      <c r="D398" s="12"/>
    </row>
    <row r="399">
      <c r="A399" s="59"/>
      <c r="B399" s="12"/>
      <c r="C399" s="12"/>
      <c r="D399" s="12"/>
    </row>
    <row r="400">
      <c r="A400" s="59"/>
      <c r="B400" s="12"/>
      <c r="C400" s="12"/>
      <c r="D400" s="12"/>
    </row>
    <row r="401">
      <c r="A401" s="59"/>
      <c r="B401" s="12"/>
      <c r="C401" s="12"/>
      <c r="D401" s="12"/>
    </row>
    <row r="402">
      <c r="A402" s="59"/>
      <c r="B402" s="12"/>
      <c r="C402" s="12"/>
      <c r="D402" s="12"/>
    </row>
    <row r="403">
      <c r="A403" s="59"/>
      <c r="B403" s="12"/>
      <c r="C403" s="12"/>
      <c r="D403" s="12"/>
    </row>
    <row r="404">
      <c r="A404" s="59"/>
      <c r="B404" s="12"/>
      <c r="C404" s="12"/>
      <c r="D404" s="12"/>
    </row>
    <row r="405">
      <c r="A405" s="59"/>
      <c r="B405" s="12"/>
      <c r="C405" s="12"/>
      <c r="D405" s="12"/>
    </row>
    <row r="406">
      <c r="A406" s="59"/>
      <c r="B406" s="12"/>
      <c r="C406" s="12"/>
      <c r="D406" s="12"/>
    </row>
    <row r="407">
      <c r="A407" s="59"/>
      <c r="B407" s="12"/>
      <c r="C407" s="12"/>
      <c r="D407" s="12"/>
    </row>
    <row r="408">
      <c r="A408" s="59"/>
      <c r="B408" s="12"/>
      <c r="C408" s="12"/>
      <c r="D408" s="12"/>
    </row>
    <row r="409">
      <c r="A409" s="59"/>
      <c r="B409" s="12"/>
      <c r="C409" s="12"/>
      <c r="D409" s="12"/>
    </row>
    <row r="410">
      <c r="A410" s="59"/>
      <c r="B410" s="12"/>
      <c r="C410" s="12"/>
      <c r="D410" s="12"/>
    </row>
    <row r="411">
      <c r="A411" s="59"/>
      <c r="B411" s="12"/>
      <c r="C411" s="12"/>
      <c r="D411" s="12"/>
    </row>
    <row r="412">
      <c r="A412" s="59"/>
      <c r="B412" s="12"/>
      <c r="C412" s="12"/>
      <c r="D412" s="12"/>
    </row>
    <row r="413">
      <c r="A413" s="59"/>
      <c r="B413" s="12"/>
      <c r="C413" s="12"/>
      <c r="D413" s="12"/>
    </row>
    <row r="414">
      <c r="A414" s="59"/>
      <c r="B414" s="12"/>
      <c r="C414" s="12"/>
      <c r="D414" s="12"/>
    </row>
    <row r="415">
      <c r="A415" s="59"/>
      <c r="B415" s="12"/>
      <c r="C415" s="12"/>
      <c r="D415" s="12"/>
    </row>
    <row r="416">
      <c r="A416" s="59"/>
      <c r="B416" s="12"/>
      <c r="C416" s="12"/>
      <c r="D416" s="12"/>
    </row>
    <row r="417">
      <c r="A417" s="59"/>
      <c r="B417" s="12"/>
      <c r="C417" s="12"/>
      <c r="D417" s="12"/>
    </row>
    <row r="418">
      <c r="A418" s="59"/>
      <c r="B418" s="12"/>
      <c r="C418" s="12"/>
      <c r="D418" s="12"/>
    </row>
    <row r="419">
      <c r="A419" s="59"/>
      <c r="B419" s="12"/>
      <c r="C419" s="12"/>
      <c r="D419" s="12"/>
    </row>
    <row r="420">
      <c r="A420" s="59"/>
      <c r="B420" s="12"/>
      <c r="C420" s="12"/>
      <c r="D420" s="12"/>
    </row>
    <row r="421">
      <c r="A421" s="59"/>
      <c r="B421" s="12"/>
      <c r="C421" s="12"/>
      <c r="D421" s="12"/>
    </row>
    <row r="422">
      <c r="A422" s="59"/>
      <c r="B422" s="12"/>
      <c r="C422" s="12"/>
      <c r="D422" s="12"/>
    </row>
    <row r="423">
      <c r="A423" s="59"/>
      <c r="B423" s="12"/>
      <c r="C423" s="12"/>
      <c r="D423" s="12"/>
    </row>
    <row r="424">
      <c r="A424" s="59"/>
      <c r="B424" s="12"/>
      <c r="C424" s="12"/>
      <c r="D424" s="12"/>
    </row>
    <row r="425">
      <c r="A425" s="59"/>
      <c r="B425" s="12"/>
      <c r="C425" s="12"/>
      <c r="D425" s="12"/>
    </row>
    <row r="426">
      <c r="A426" s="59"/>
      <c r="B426" s="12"/>
      <c r="C426" s="12"/>
      <c r="D426" s="12"/>
    </row>
    <row r="427">
      <c r="A427" s="59"/>
      <c r="B427" s="12"/>
      <c r="C427" s="12"/>
      <c r="D427" s="12"/>
    </row>
    <row r="428">
      <c r="A428" s="59"/>
      <c r="B428" s="12"/>
      <c r="C428" s="12"/>
      <c r="D428" s="12"/>
    </row>
    <row r="429">
      <c r="A429" s="59"/>
      <c r="B429" s="12"/>
      <c r="C429" s="12"/>
      <c r="D429" s="12"/>
    </row>
    <row r="430">
      <c r="A430" s="59"/>
      <c r="B430" s="12"/>
      <c r="C430" s="12"/>
      <c r="D430" s="12"/>
    </row>
    <row r="431">
      <c r="A431" s="59"/>
      <c r="B431" s="12"/>
      <c r="C431" s="12"/>
      <c r="D431" s="12"/>
    </row>
    <row r="432">
      <c r="A432" s="59"/>
      <c r="B432" s="12"/>
      <c r="C432" s="12"/>
      <c r="D432" s="12"/>
    </row>
    <row r="433">
      <c r="A433" s="59"/>
      <c r="B433" s="12"/>
      <c r="C433" s="12"/>
      <c r="D433" s="12"/>
    </row>
    <row r="434">
      <c r="A434" s="59"/>
      <c r="B434" s="12"/>
      <c r="C434" s="12"/>
      <c r="D434" s="12"/>
    </row>
    <row r="435">
      <c r="A435" s="59"/>
      <c r="B435" s="12"/>
      <c r="C435" s="12"/>
      <c r="D435" s="12"/>
    </row>
    <row r="436">
      <c r="A436" s="59"/>
      <c r="B436" s="12"/>
      <c r="C436" s="12"/>
      <c r="D436" s="12"/>
    </row>
    <row r="437">
      <c r="A437" s="59"/>
      <c r="B437" s="12"/>
      <c r="C437" s="12"/>
      <c r="D437" s="12"/>
    </row>
    <row r="438">
      <c r="A438" s="59"/>
      <c r="B438" s="12"/>
      <c r="C438" s="12"/>
      <c r="D438" s="12"/>
    </row>
    <row r="439">
      <c r="A439" s="59"/>
      <c r="B439" s="12"/>
      <c r="C439" s="12"/>
      <c r="D439" s="12"/>
    </row>
    <row r="440">
      <c r="A440" s="59"/>
      <c r="B440" s="12"/>
      <c r="C440" s="12"/>
      <c r="D440" s="12"/>
    </row>
    <row r="441">
      <c r="A441" s="59"/>
      <c r="B441" s="12"/>
      <c r="C441" s="12"/>
      <c r="D441" s="12"/>
    </row>
    <row r="442">
      <c r="A442" s="59"/>
      <c r="B442" s="12"/>
      <c r="C442" s="12"/>
      <c r="D442" s="12"/>
    </row>
    <row r="443">
      <c r="A443" s="59"/>
      <c r="B443" s="12"/>
      <c r="C443" s="12"/>
      <c r="D443" s="12"/>
    </row>
    <row r="444">
      <c r="A444" s="59"/>
      <c r="B444" s="12"/>
      <c r="C444" s="12"/>
      <c r="D444" s="12"/>
    </row>
    <row r="445">
      <c r="A445" s="59"/>
      <c r="B445" s="12"/>
      <c r="C445" s="12"/>
      <c r="D445" s="12"/>
    </row>
    <row r="446">
      <c r="A446" s="59"/>
      <c r="B446" s="12"/>
      <c r="C446" s="12"/>
      <c r="D446" s="12"/>
    </row>
    <row r="447">
      <c r="A447" s="59"/>
      <c r="B447" s="12"/>
      <c r="C447" s="12"/>
      <c r="D447" s="12"/>
    </row>
    <row r="448">
      <c r="A448" s="59"/>
      <c r="B448" s="12"/>
      <c r="C448" s="12"/>
      <c r="D448" s="12"/>
    </row>
    <row r="449">
      <c r="A449" s="59"/>
      <c r="B449" s="12"/>
      <c r="C449" s="12"/>
      <c r="D449" s="12"/>
    </row>
    <row r="450">
      <c r="A450" s="59"/>
      <c r="B450" s="12"/>
      <c r="C450" s="12"/>
      <c r="D450" s="12"/>
    </row>
    <row r="451">
      <c r="A451" s="59"/>
      <c r="B451" s="12"/>
      <c r="C451" s="12"/>
      <c r="D451" s="12"/>
    </row>
    <row r="452">
      <c r="A452" s="59"/>
      <c r="B452" s="12"/>
      <c r="C452" s="12"/>
      <c r="D452" s="12"/>
    </row>
    <row r="453">
      <c r="A453" s="59"/>
      <c r="B453" s="12"/>
      <c r="C453" s="12"/>
      <c r="D453" s="12"/>
    </row>
    <row r="454">
      <c r="A454" s="59"/>
      <c r="B454" s="12"/>
      <c r="C454" s="12"/>
      <c r="D454" s="12"/>
    </row>
    <row r="455">
      <c r="A455" s="59"/>
      <c r="B455" s="12"/>
      <c r="C455" s="12"/>
      <c r="D455" s="12"/>
    </row>
    <row r="456">
      <c r="A456" s="59"/>
      <c r="B456" s="12"/>
      <c r="C456" s="12"/>
      <c r="D456" s="12"/>
    </row>
    <row r="457">
      <c r="A457" s="59"/>
      <c r="B457" s="12"/>
      <c r="C457" s="12"/>
      <c r="D457" s="12"/>
    </row>
    <row r="458">
      <c r="A458" s="59"/>
      <c r="B458" s="12"/>
      <c r="C458" s="12"/>
      <c r="D458" s="12"/>
    </row>
    <row r="459">
      <c r="A459" s="59"/>
      <c r="B459" s="12"/>
      <c r="C459" s="12"/>
      <c r="D459" s="12"/>
    </row>
    <row r="460">
      <c r="A460" s="59"/>
      <c r="B460" s="12"/>
      <c r="C460" s="12"/>
      <c r="D460" s="12"/>
    </row>
    <row r="461">
      <c r="A461" s="59"/>
      <c r="B461" s="12"/>
      <c r="C461" s="12"/>
      <c r="D461" s="12"/>
    </row>
    <row r="462">
      <c r="A462" s="59"/>
      <c r="B462" s="12"/>
      <c r="C462" s="12"/>
      <c r="D462" s="12"/>
    </row>
    <row r="463">
      <c r="A463" s="59"/>
      <c r="B463" s="12"/>
      <c r="C463" s="12"/>
      <c r="D463" s="12"/>
    </row>
    <row r="464">
      <c r="A464" s="59"/>
      <c r="B464" s="12"/>
      <c r="C464" s="12"/>
      <c r="D464" s="12"/>
    </row>
    <row r="465">
      <c r="A465" s="59"/>
      <c r="B465" s="12"/>
      <c r="C465" s="12"/>
      <c r="D465" s="12"/>
    </row>
    <row r="466">
      <c r="A466" s="59"/>
      <c r="B466" s="12"/>
      <c r="C466" s="12"/>
      <c r="D466" s="12"/>
    </row>
    <row r="467">
      <c r="A467" s="59"/>
      <c r="B467" s="12"/>
      <c r="C467" s="12"/>
      <c r="D467" s="12"/>
    </row>
    <row r="468">
      <c r="A468" s="59"/>
      <c r="B468" s="12"/>
      <c r="C468" s="12"/>
      <c r="D468" s="12"/>
    </row>
    <row r="469">
      <c r="A469" s="59"/>
      <c r="B469" s="12"/>
      <c r="C469" s="12"/>
      <c r="D469" s="12"/>
    </row>
    <row r="470">
      <c r="A470" s="59"/>
      <c r="B470" s="12"/>
      <c r="C470" s="12"/>
      <c r="D470" s="12"/>
    </row>
    <row r="471">
      <c r="A471" s="59"/>
      <c r="B471" s="12"/>
      <c r="C471" s="12"/>
      <c r="D471" s="12"/>
    </row>
    <row r="472">
      <c r="A472" s="59"/>
      <c r="B472" s="12"/>
      <c r="C472" s="12"/>
      <c r="D472" s="12"/>
    </row>
    <row r="473">
      <c r="A473" s="59"/>
      <c r="B473" s="12"/>
      <c r="C473" s="12"/>
      <c r="D473" s="12"/>
    </row>
    <row r="474">
      <c r="A474" s="59"/>
      <c r="B474" s="12"/>
      <c r="C474" s="12"/>
      <c r="D474" s="12"/>
    </row>
    <row r="475">
      <c r="A475" s="59"/>
      <c r="B475" s="12"/>
      <c r="C475" s="12"/>
      <c r="D475" s="12"/>
    </row>
    <row r="476">
      <c r="A476" s="59"/>
      <c r="B476" s="12"/>
      <c r="C476" s="12"/>
      <c r="D476" s="12"/>
    </row>
    <row r="477">
      <c r="A477" s="59"/>
      <c r="B477" s="12"/>
      <c r="C477" s="12"/>
      <c r="D477" s="12"/>
    </row>
    <row r="478">
      <c r="A478" s="59"/>
      <c r="B478" s="12"/>
      <c r="C478" s="12"/>
      <c r="D478" s="12"/>
    </row>
    <row r="479">
      <c r="A479" s="59"/>
      <c r="B479" s="12"/>
      <c r="C479" s="12"/>
      <c r="D479" s="12"/>
    </row>
    <row r="480">
      <c r="A480" s="59"/>
      <c r="B480" s="12"/>
      <c r="C480" s="12"/>
      <c r="D480" s="12"/>
    </row>
    <row r="481">
      <c r="A481" s="59"/>
      <c r="B481" s="12"/>
      <c r="C481" s="12"/>
      <c r="D481" s="12"/>
    </row>
    <row r="482">
      <c r="A482" s="59"/>
      <c r="B482" s="12"/>
      <c r="C482" s="12"/>
      <c r="D482" s="12"/>
    </row>
    <row r="483">
      <c r="A483" s="59"/>
      <c r="B483" s="12"/>
      <c r="C483" s="12"/>
      <c r="D483" s="12"/>
    </row>
    <row r="484">
      <c r="A484" s="59"/>
      <c r="B484" s="12"/>
      <c r="C484" s="12"/>
      <c r="D484" s="12"/>
    </row>
    <row r="485">
      <c r="A485" s="59"/>
      <c r="B485" s="12"/>
      <c r="C485" s="12"/>
      <c r="D485" s="12"/>
    </row>
    <row r="486">
      <c r="A486" s="59"/>
      <c r="B486" s="12"/>
      <c r="C486" s="12"/>
      <c r="D486" s="12"/>
    </row>
    <row r="487">
      <c r="A487" s="59"/>
      <c r="B487" s="12"/>
      <c r="C487" s="12"/>
      <c r="D487" s="12"/>
    </row>
    <row r="488">
      <c r="A488" s="59"/>
      <c r="B488" s="12"/>
      <c r="C488" s="12"/>
      <c r="D488" s="12"/>
    </row>
    <row r="489">
      <c r="A489" s="59"/>
      <c r="B489" s="12"/>
      <c r="C489" s="12"/>
      <c r="D489" s="12"/>
    </row>
    <row r="490">
      <c r="A490" s="59"/>
      <c r="B490" s="12"/>
      <c r="C490" s="12"/>
      <c r="D490" s="12"/>
    </row>
    <row r="491">
      <c r="A491" s="59"/>
      <c r="B491" s="12"/>
      <c r="C491" s="12"/>
      <c r="D491" s="12"/>
    </row>
    <row r="492">
      <c r="A492" s="59"/>
      <c r="B492" s="12"/>
      <c r="C492" s="12"/>
      <c r="D492" s="12"/>
    </row>
    <row r="493">
      <c r="A493" s="59"/>
      <c r="B493" s="12"/>
      <c r="C493" s="12"/>
      <c r="D493" s="12"/>
    </row>
    <row r="494">
      <c r="A494" s="59"/>
      <c r="B494" s="12"/>
      <c r="C494" s="12"/>
      <c r="D494" s="12"/>
    </row>
    <row r="495">
      <c r="A495" s="59"/>
      <c r="B495" s="12"/>
      <c r="C495" s="12"/>
      <c r="D495" s="12"/>
    </row>
    <row r="496">
      <c r="A496" s="59"/>
      <c r="B496" s="12"/>
      <c r="C496" s="12"/>
      <c r="D496" s="12"/>
    </row>
    <row r="497">
      <c r="A497" s="59"/>
      <c r="B497" s="12"/>
      <c r="C497" s="12"/>
      <c r="D497" s="12"/>
    </row>
    <row r="498">
      <c r="A498" s="59"/>
      <c r="B498" s="12"/>
      <c r="C498" s="12"/>
      <c r="D498" s="12"/>
    </row>
    <row r="499">
      <c r="A499" s="59"/>
      <c r="B499" s="12"/>
      <c r="C499" s="12"/>
      <c r="D499" s="12"/>
    </row>
    <row r="500">
      <c r="A500" s="59"/>
      <c r="B500" s="12"/>
      <c r="C500" s="12"/>
      <c r="D500" s="12"/>
    </row>
    <row r="501">
      <c r="A501" s="59"/>
      <c r="B501" s="12"/>
      <c r="C501" s="12"/>
      <c r="D501" s="12"/>
    </row>
    <row r="502">
      <c r="A502" s="59"/>
      <c r="B502" s="12"/>
      <c r="C502" s="12"/>
      <c r="D502" s="12"/>
    </row>
    <row r="503">
      <c r="A503" s="59"/>
      <c r="B503" s="12"/>
      <c r="C503" s="12"/>
      <c r="D503" s="12"/>
    </row>
    <row r="504">
      <c r="A504" s="59"/>
      <c r="B504" s="12"/>
      <c r="C504" s="12"/>
      <c r="D504" s="12"/>
    </row>
    <row r="505">
      <c r="A505" s="59"/>
      <c r="B505" s="12"/>
      <c r="C505" s="12"/>
      <c r="D505" s="12"/>
    </row>
    <row r="506">
      <c r="A506" s="59"/>
      <c r="B506" s="12"/>
      <c r="C506" s="12"/>
      <c r="D506" s="12"/>
    </row>
    <row r="507">
      <c r="A507" s="59"/>
      <c r="B507" s="12"/>
      <c r="C507" s="12"/>
      <c r="D507" s="12"/>
    </row>
    <row r="508">
      <c r="A508" s="59"/>
      <c r="B508" s="12"/>
      <c r="C508" s="12"/>
      <c r="D508" s="12"/>
    </row>
    <row r="509">
      <c r="A509" s="59"/>
      <c r="B509" s="12"/>
      <c r="C509" s="12"/>
      <c r="D509" s="12"/>
    </row>
    <row r="510">
      <c r="A510" s="59"/>
      <c r="B510" s="12"/>
      <c r="C510" s="12"/>
      <c r="D510" s="12"/>
    </row>
    <row r="511">
      <c r="A511" s="59"/>
      <c r="B511" s="12"/>
      <c r="C511" s="12"/>
      <c r="D511" s="12"/>
    </row>
    <row r="512">
      <c r="A512" s="59"/>
      <c r="B512" s="12"/>
      <c r="C512" s="12"/>
      <c r="D512" s="12"/>
    </row>
    <row r="513">
      <c r="A513" s="59"/>
      <c r="B513" s="12"/>
      <c r="C513" s="12"/>
      <c r="D513" s="12"/>
    </row>
    <row r="514">
      <c r="A514" s="59"/>
      <c r="B514" s="12"/>
      <c r="C514" s="12"/>
      <c r="D514" s="12"/>
    </row>
    <row r="515">
      <c r="A515" s="59"/>
      <c r="B515" s="12"/>
      <c r="C515" s="12"/>
      <c r="D515" s="12"/>
    </row>
    <row r="516">
      <c r="A516" s="59"/>
      <c r="B516" s="12"/>
      <c r="C516" s="12"/>
      <c r="D516" s="12"/>
    </row>
    <row r="517">
      <c r="A517" s="59"/>
      <c r="B517" s="12"/>
      <c r="C517" s="12"/>
      <c r="D517" s="12"/>
    </row>
    <row r="518">
      <c r="A518" s="59"/>
      <c r="B518" s="12"/>
      <c r="C518" s="12"/>
      <c r="D518" s="12"/>
    </row>
    <row r="519">
      <c r="A519" s="59"/>
      <c r="B519" s="12"/>
      <c r="C519" s="12"/>
      <c r="D519" s="12"/>
    </row>
    <row r="520">
      <c r="A520" s="59"/>
      <c r="B520" s="12"/>
      <c r="C520" s="12"/>
      <c r="D520" s="12"/>
    </row>
    <row r="521">
      <c r="A521" s="59"/>
      <c r="B521" s="12"/>
      <c r="C521" s="12"/>
      <c r="D521" s="12"/>
    </row>
    <row r="522">
      <c r="A522" s="59"/>
      <c r="B522" s="12"/>
      <c r="C522" s="12"/>
      <c r="D522" s="12"/>
    </row>
    <row r="523">
      <c r="A523" s="59"/>
      <c r="B523" s="12"/>
      <c r="C523" s="12"/>
      <c r="D523" s="12"/>
    </row>
    <row r="524">
      <c r="A524" s="59"/>
      <c r="B524" s="12"/>
      <c r="C524" s="12"/>
      <c r="D524" s="12"/>
    </row>
    <row r="525">
      <c r="A525" s="59"/>
      <c r="B525" s="12"/>
      <c r="C525" s="12"/>
      <c r="D525" s="12"/>
    </row>
    <row r="526">
      <c r="A526" s="59"/>
      <c r="B526" s="12"/>
      <c r="C526" s="12"/>
      <c r="D526" s="12"/>
    </row>
    <row r="527">
      <c r="A527" s="59"/>
      <c r="B527" s="12"/>
      <c r="C527" s="12"/>
      <c r="D527" s="12"/>
    </row>
    <row r="528">
      <c r="A528" s="59"/>
      <c r="B528" s="12"/>
      <c r="C528" s="12"/>
      <c r="D528" s="12"/>
    </row>
    <row r="529">
      <c r="A529" s="59"/>
      <c r="B529" s="12"/>
      <c r="C529" s="12"/>
      <c r="D529" s="12"/>
    </row>
    <row r="530">
      <c r="A530" s="59"/>
      <c r="B530" s="12"/>
      <c r="C530" s="12"/>
      <c r="D530" s="12"/>
    </row>
    <row r="531">
      <c r="A531" s="59"/>
      <c r="B531" s="12"/>
      <c r="C531" s="12"/>
      <c r="D531" s="12"/>
    </row>
    <row r="532">
      <c r="A532" s="59"/>
      <c r="B532" s="12"/>
      <c r="C532" s="12"/>
      <c r="D532" s="12"/>
    </row>
    <row r="533">
      <c r="A533" s="59"/>
      <c r="B533" s="12"/>
      <c r="C533" s="12"/>
      <c r="D533" s="12"/>
    </row>
    <row r="534">
      <c r="A534" s="59"/>
      <c r="B534" s="12"/>
      <c r="C534" s="12"/>
      <c r="D534" s="12"/>
    </row>
    <row r="535">
      <c r="A535" s="59"/>
      <c r="B535" s="12"/>
      <c r="C535" s="12"/>
      <c r="D535" s="12"/>
    </row>
    <row r="536">
      <c r="A536" s="59"/>
      <c r="B536" s="12"/>
      <c r="C536" s="12"/>
      <c r="D536" s="12"/>
    </row>
    <row r="537">
      <c r="A537" s="59"/>
      <c r="B537" s="12"/>
      <c r="C537" s="12"/>
      <c r="D537" s="12"/>
    </row>
    <row r="538">
      <c r="A538" s="59"/>
      <c r="B538" s="12"/>
      <c r="C538" s="12"/>
      <c r="D538" s="12"/>
    </row>
    <row r="539">
      <c r="A539" s="59"/>
      <c r="B539" s="12"/>
      <c r="C539" s="12"/>
      <c r="D539" s="12"/>
    </row>
    <row r="540">
      <c r="A540" s="59"/>
      <c r="B540" s="12"/>
      <c r="C540" s="12"/>
      <c r="D540" s="12"/>
    </row>
    <row r="541">
      <c r="A541" s="59"/>
      <c r="B541" s="12"/>
      <c r="C541" s="12"/>
      <c r="D541" s="12"/>
    </row>
    <row r="542">
      <c r="A542" s="59"/>
      <c r="B542" s="12"/>
      <c r="C542" s="12"/>
      <c r="D542" s="12"/>
    </row>
    <row r="543">
      <c r="A543" s="59"/>
      <c r="B543" s="12"/>
      <c r="C543" s="12"/>
      <c r="D543" s="12"/>
    </row>
    <row r="544">
      <c r="A544" s="59"/>
      <c r="B544" s="12"/>
      <c r="C544" s="12"/>
      <c r="D544" s="12"/>
    </row>
    <row r="545">
      <c r="A545" s="59"/>
      <c r="B545" s="12"/>
      <c r="C545" s="12"/>
      <c r="D545" s="12"/>
    </row>
    <row r="546">
      <c r="A546" s="59"/>
      <c r="B546" s="12"/>
      <c r="C546" s="12"/>
      <c r="D546" s="12"/>
    </row>
    <row r="547">
      <c r="A547" s="59"/>
      <c r="B547" s="12"/>
      <c r="C547" s="12"/>
      <c r="D547" s="12"/>
    </row>
    <row r="548">
      <c r="A548" s="59"/>
      <c r="B548" s="12"/>
      <c r="C548" s="12"/>
      <c r="D548" s="12"/>
    </row>
    <row r="549">
      <c r="A549" s="59"/>
      <c r="B549" s="12"/>
      <c r="C549" s="12"/>
      <c r="D549" s="12"/>
    </row>
    <row r="550">
      <c r="A550" s="59"/>
      <c r="B550" s="12"/>
      <c r="C550" s="12"/>
      <c r="D550" s="12"/>
    </row>
    <row r="551">
      <c r="A551" s="59"/>
      <c r="B551" s="12"/>
      <c r="C551" s="12"/>
      <c r="D551" s="12"/>
    </row>
    <row r="552">
      <c r="A552" s="59"/>
      <c r="B552" s="12"/>
      <c r="C552" s="12"/>
      <c r="D552" s="12"/>
    </row>
    <row r="553">
      <c r="A553" s="59"/>
      <c r="B553" s="12"/>
      <c r="C553" s="12"/>
      <c r="D553" s="12"/>
    </row>
    <row r="554">
      <c r="A554" s="59"/>
      <c r="B554" s="12"/>
      <c r="C554" s="12"/>
      <c r="D554" s="12"/>
    </row>
    <row r="555">
      <c r="A555" s="59"/>
      <c r="B555" s="12"/>
      <c r="C555" s="12"/>
      <c r="D555" s="12"/>
    </row>
    <row r="556">
      <c r="A556" s="59"/>
      <c r="B556" s="12"/>
      <c r="C556" s="12"/>
      <c r="D556" s="12"/>
    </row>
    <row r="557">
      <c r="A557" s="59"/>
      <c r="B557" s="12"/>
      <c r="C557" s="12"/>
      <c r="D557" s="12"/>
    </row>
    <row r="558">
      <c r="A558" s="59"/>
      <c r="B558" s="12"/>
      <c r="C558" s="12"/>
      <c r="D558" s="12"/>
    </row>
    <row r="559">
      <c r="A559" s="59"/>
      <c r="B559" s="12"/>
      <c r="C559" s="12"/>
      <c r="D559" s="12"/>
    </row>
    <row r="560">
      <c r="A560" s="59"/>
      <c r="B560" s="12"/>
      <c r="C560" s="12"/>
      <c r="D560" s="12"/>
    </row>
    <row r="561">
      <c r="A561" s="59"/>
      <c r="B561" s="12"/>
      <c r="C561" s="12"/>
      <c r="D561" s="12"/>
    </row>
    <row r="562">
      <c r="A562" s="59"/>
      <c r="B562" s="12"/>
      <c r="C562" s="12"/>
      <c r="D562" s="12"/>
    </row>
    <row r="563">
      <c r="A563" s="59"/>
      <c r="B563" s="12"/>
      <c r="C563" s="12"/>
      <c r="D563" s="12"/>
    </row>
    <row r="564">
      <c r="A564" s="59"/>
      <c r="B564" s="12"/>
      <c r="C564" s="12"/>
      <c r="D564" s="12"/>
    </row>
    <row r="565">
      <c r="A565" s="59"/>
      <c r="B565" s="12"/>
      <c r="C565" s="12"/>
      <c r="D565" s="12"/>
    </row>
    <row r="566">
      <c r="A566" s="59"/>
      <c r="B566" s="12"/>
      <c r="C566" s="12"/>
      <c r="D566" s="12"/>
    </row>
    <row r="567">
      <c r="A567" s="59"/>
      <c r="B567" s="12"/>
      <c r="C567" s="12"/>
      <c r="D567" s="12"/>
    </row>
    <row r="568">
      <c r="A568" s="59"/>
      <c r="B568" s="12"/>
      <c r="C568" s="12"/>
      <c r="D568" s="12"/>
    </row>
    <row r="569">
      <c r="A569" s="59"/>
      <c r="B569" s="12"/>
      <c r="C569" s="12"/>
      <c r="D569" s="12"/>
    </row>
    <row r="570">
      <c r="A570" s="59"/>
      <c r="B570" s="12"/>
      <c r="C570" s="12"/>
      <c r="D570" s="12"/>
    </row>
    <row r="571">
      <c r="A571" s="59"/>
      <c r="B571" s="12"/>
      <c r="C571" s="12"/>
      <c r="D571" s="12"/>
    </row>
    <row r="572">
      <c r="A572" s="59"/>
      <c r="B572" s="12"/>
      <c r="C572" s="12"/>
      <c r="D572" s="12"/>
    </row>
    <row r="573">
      <c r="A573" s="59"/>
      <c r="B573" s="12"/>
      <c r="C573" s="12"/>
      <c r="D573" s="12"/>
    </row>
    <row r="574">
      <c r="A574" s="59"/>
      <c r="B574" s="12"/>
      <c r="C574" s="12"/>
      <c r="D574" s="12"/>
    </row>
    <row r="575">
      <c r="A575" s="59"/>
      <c r="B575" s="12"/>
      <c r="C575" s="12"/>
      <c r="D575" s="12"/>
    </row>
    <row r="576">
      <c r="A576" s="59"/>
      <c r="B576" s="12"/>
      <c r="C576" s="12"/>
      <c r="D576" s="12"/>
    </row>
    <row r="577">
      <c r="A577" s="59"/>
      <c r="B577" s="12"/>
      <c r="C577" s="12"/>
      <c r="D577" s="12"/>
    </row>
    <row r="578">
      <c r="A578" s="59"/>
      <c r="B578" s="12"/>
      <c r="C578" s="12"/>
      <c r="D578" s="12"/>
    </row>
    <row r="579">
      <c r="A579" s="59"/>
      <c r="B579" s="12"/>
      <c r="C579" s="12"/>
      <c r="D579" s="12"/>
    </row>
    <row r="580">
      <c r="A580" s="59"/>
      <c r="B580" s="12"/>
      <c r="C580" s="12"/>
      <c r="D580" s="12"/>
    </row>
    <row r="581">
      <c r="A581" s="59"/>
      <c r="B581" s="12"/>
      <c r="C581" s="12"/>
      <c r="D581" s="12"/>
    </row>
    <row r="582">
      <c r="A582" s="59"/>
      <c r="B582" s="12"/>
      <c r="C582" s="12"/>
      <c r="D582" s="12"/>
    </row>
    <row r="583">
      <c r="A583" s="59"/>
      <c r="B583" s="12"/>
      <c r="C583" s="12"/>
      <c r="D583" s="12"/>
    </row>
    <row r="584">
      <c r="A584" s="59"/>
      <c r="B584" s="12"/>
      <c r="C584" s="12"/>
      <c r="D584" s="12"/>
    </row>
    <row r="585">
      <c r="A585" s="59"/>
      <c r="B585" s="12"/>
      <c r="C585" s="12"/>
      <c r="D585" s="12"/>
    </row>
    <row r="586">
      <c r="A586" s="59"/>
      <c r="B586" s="12"/>
      <c r="C586" s="12"/>
      <c r="D586" s="12"/>
    </row>
    <row r="587">
      <c r="A587" s="59"/>
      <c r="B587" s="12"/>
      <c r="C587" s="12"/>
      <c r="D587" s="12"/>
    </row>
    <row r="588">
      <c r="A588" s="59"/>
      <c r="B588" s="12"/>
      <c r="C588" s="12"/>
      <c r="D588" s="12"/>
    </row>
    <row r="589">
      <c r="A589" s="59"/>
      <c r="B589" s="12"/>
      <c r="C589" s="12"/>
      <c r="D589" s="12"/>
    </row>
    <row r="590">
      <c r="A590" s="59"/>
      <c r="B590" s="12"/>
      <c r="C590" s="12"/>
      <c r="D590" s="12"/>
    </row>
    <row r="591">
      <c r="A591" s="59"/>
      <c r="B591" s="12"/>
      <c r="C591" s="12"/>
      <c r="D591" s="12"/>
    </row>
    <row r="592">
      <c r="A592" s="59"/>
      <c r="B592" s="12"/>
      <c r="C592" s="12"/>
      <c r="D592" s="12"/>
    </row>
    <row r="593">
      <c r="A593" s="59"/>
      <c r="B593" s="12"/>
      <c r="C593" s="12"/>
      <c r="D593" s="12"/>
    </row>
    <row r="594">
      <c r="A594" s="59"/>
      <c r="B594" s="12"/>
      <c r="C594" s="12"/>
      <c r="D594" s="12"/>
    </row>
    <row r="595">
      <c r="A595" s="59"/>
      <c r="B595" s="12"/>
      <c r="C595" s="12"/>
      <c r="D595" s="12"/>
    </row>
    <row r="596">
      <c r="A596" s="59"/>
      <c r="B596" s="12"/>
      <c r="C596" s="12"/>
      <c r="D596" s="12"/>
    </row>
    <row r="597">
      <c r="A597" s="59"/>
      <c r="B597" s="12"/>
      <c r="C597" s="12"/>
      <c r="D597" s="12"/>
    </row>
    <row r="598">
      <c r="A598" s="59"/>
      <c r="B598" s="12"/>
      <c r="C598" s="12"/>
      <c r="D598" s="12"/>
    </row>
    <row r="599">
      <c r="A599" s="59"/>
      <c r="B599" s="12"/>
      <c r="C599" s="12"/>
      <c r="D599" s="12"/>
    </row>
    <row r="600">
      <c r="A600" s="59"/>
      <c r="B600" s="12"/>
      <c r="C600" s="12"/>
      <c r="D600" s="12"/>
    </row>
    <row r="601">
      <c r="A601" s="59"/>
      <c r="B601" s="12"/>
      <c r="C601" s="12"/>
      <c r="D601" s="12"/>
    </row>
    <row r="602">
      <c r="A602" s="59"/>
      <c r="B602" s="12"/>
      <c r="C602" s="12"/>
      <c r="D602" s="12"/>
    </row>
    <row r="603">
      <c r="A603" s="59"/>
      <c r="B603" s="12"/>
      <c r="C603" s="12"/>
      <c r="D603" s="12"/>
    </row>
    <row r="604">
      <c r="A604" s="59"/>
      <c r="B604" s="12"/>
      <c r="C604" s="12"/>
      <c r="D604" s="12"/>
    </row>
    <row r="605">
      <c r="A605" s="59"/>
      <c r="B605" s="12"/>
      <c r="C605" s="12"/>
      <c r="D605" s="12"/>
    </row>
    <row r="606">
      <c r="A606" s="59"/>
      <c r="B606" s="12"/>
      <c r="C606" s="12"/>
      <c r="D606" s="12"/>
    </row>
    <row r="607">
      <c r="A607" s="59"/>
      <c r="B607" s="12"/>
      <c r="C607" s="12"/>
      <c r="D607" s="12"/>
    </row>
    <row r="608">
      <c r="A608" s="59"/>
      <c r="B608" s="12"/>
      <c r="C608" s="12"/>
      <c r="D608" s="12"/>
    </row>
    <row r="609">
      <c r="A609" s="59"/>
      <c r="B609" s="12"/>
      <c r="C609" s="12"/>
      <c r="D609" s="12"/>
    </row>
    <row r="610">
      <c r="A610" s="59"/>
      <c r="B610" s="12"/>
      <c r="C610" s="12"/>
      <c r="D610" s="12"/>
    </row>
    <row r="611">
      <c r="A611" s="59"/>
      <c r="B611" s="12"/>
      <c r="C611" s="12"/>
      <c r="D611" s="12"/>
    </row>
    <row r="612">
      <c r="A612" s="59"/>
      <c r="B612" s="12"/>
      <c r="C612" s="12"/>
      <c r="D612" s="12"/>
    </row>
    <row r="613">
      <c r="A613" s="59"/>
      <c r="B613" s="12"/>
      <c r="C613" s="12"/>
      <c r="D613" s="12"/>
    </row>
    <row r="614">
      <c r="A614" s="59"/>
      <c r="B614" s="12"/>
      <c r="C614" s="12"/>
      <c r="D614" s="12"/>
    </row>
    <row r="615">
      <c r="A615" s="59"/>
      <c r="B615" s="12"/>
      <c r="C615" s="12"/>
      <c r="D615" s="12"/>
    </row>
    <row r="616">
      <c r="A616" s="59"/>
      <c r="B616" s="12"/>
      <c r="C616" s="12"/>
      <c r="D616" s="12"/>
    </row>
    <row r="617">
      <c r="A617" s="59"/>
      <c r="B617" s="12"/>
      <c r="C617" s="12"/>
      <c r="D617" s="12"/>
    </row>
    <row r="618">
      <c r="A618" s="59"/>
      <c r="B618" s="12"/>
      <c r="C618" s="12"/>
      <c r="D618" s="12"/>
    </row>
    <row r="619">
      <c r="A619" s="59"/>
      <c r="B619" s="12"/>
      <c r="C619" s="12"/>
      <c r="D619" s="12"/>
    </row>
    <row r="620">
      <c r="A620" s="59"/>
      <c r="B620" s="12"/>
      <c r="C620" s="12"/>
      <c r="D620" s="12"/>
    </row>
    <row r="621">
      <c r="A621" s="59"/>
      <c r="B621" s="12"/>
      <c r="C621" s="12"/>
      <c r="D621" s="12"/>
    </row>
    <row r="622">
      <c r="A622" s="59"/>
      <c r="B622" s="12"/>
      <c r="C622" s="12"/>
      <c r="D622" s="12"/>
    </row>
    <row r="623">
      <c r="A623" s="59"/>
      <c r="B623" s="12"/>
      <c r="C623" s="12"/>
      <c r="D623" s="12"/>
    </row>
    <row r="624">
      <c r="A624" s="59"/>
      <c r="B624" s="12"/>
      <c r="C624" s="12"/>
      <c r="D624" s="12"/>
    </row>
    <row r="625">
      <c r="A625" s="59"/>
      <c r="B625" s="12"/>
      <c r="C625" s="12"/>
      <c r="D625" s="12"/>
    </row>
    <row r="626">
      <c r="A626" s="59"/>
      <c r="B626" s="12"/>
      <c r="C626" s="12"/>
      <c r="D626" s="12"/>
    </row>
    <row r="627">
      <c r="A627" s="59"/>
      <c r="B627" s="12"/>
      <c r="C627" s="12"/>
      <c r="D627" s="12"/>
    </row>
    <row r="628">
      <c r="A628" s="59"/>
      <c r="B628" s="12"/>
      <c r="C628" s="12"/>
      <c r="D628" s="12"/>
    </row>
    <row r="629">
      <c r="A629" s="59"/>
      <c r="B629" s="12"/>
      <c r="C629" s="12"/>
      <c r="D629" s="12"/>
    </row>
    <row r="630">
      <c r="A630" s="59"/>
      <c r="B630" s="12"/>
      <c r="C630" s="12"/>
      <c r="D630" s="12"/>
    </row>
    <row r="631">
      <c r="A631" s="59"/>
      <c r="B631" s="12"/>
      <c r="C631" s="12"/>
      <c r="D631" s="12"/>
    </row>
    <row r="632">
      <c r="A632" s="59"/>
      <c r="B632" s="12"/>
      <c r="C632" s="12"/>
      <c r="D632" s="12"/>
    </row>
    <row r="633">
      <c r="A633" s="59"/>
      <c r="B633" s="12"/>
      <c r="C633" s="12"/>
      <c r="D633" s="12"/>
    </row>
    <row r="634">
      <c r="A634" s="59"/>
      <c r="B634" s="12"/>
      <c r="C634" s="12"/>
      <c r="D634" s="12"/>
    </row>
    <row r="635">
      <c r="A635" s="59"/>
      <c r="B635" s="12"/>
      <c r="C635" s="12"/>
      <c r="D635" s="12"/>
    </row>
    <row r="636">
      <c r="A636" s="59"/>
      <c r="B636" s="12"/>
      <c r="C636" s="12"/>
      <c r="D636" s="12"/>
    </row>
    <row r="637">
      <c r="A637" s="59"/>
      <c r="B637" s="12"/>
      <c r="C637" s="12"/>
      <c r="D637" s="12"/>
    </row>
    <row r="638">
      <c r="A638" s="59"/>
      <c r="B638" s="12"/>
      <c r="C638" s="12"/>
      <c r="D638" s="12"/>
    </row>
    <row r="639">
      <c r="A639" s="59"/>
      <c r="B639" s="12"/>
      <c r="C639" s="12"/>
      <c r="D639" s="12"/>
    </row>
    <row r="640">
      <c r="A640" s="59"/>
      <c r="B640" s="12"/>
      <c r="C640" s="12"/>
      <c r="D640" s="12"/>
    </row>
    <row r="641">
      <c r="A641" s="59"/>
      <c r="B641" s="12"/>
      <c r="C641" s="12"/>
      <c r="D641" s="12"/>
    </row>
    <row r="642">
      <c r="A642" s="59"/>
      <c r="B642" s="12"/>
      <c r="C642" s="12"/>
      <c r="D642" s="12"/>
    </row>
    <row r="643">
      <c r="A643" s="59"/>
      <c r="B643" s="12"/>
      <c r="C643" s="12"/>
      <c r="D643" s="12"/>
    </row>
    <row r="644">
      <c r="A644" s="59"/>
      <c r="B644" s="12"/>
      <c r="C644" s="12"/>
      <c r="D644" s="12"/>
    </row>
    <row r="645">
      <c r="A645" s="59"/>
      <c r="B645" s="12"/>
      <c r="C645" s="12"/>
      <c r="D645" s="12"/>
    </row>
    <row r="646">
      <c r="A646" s="59"/>
      <c r="B646" s="12"/>
      <c r="C646" s="12"/>
      <c r="D646" s="12"/>
    </row>
    <row r="647">
      <c r="A647" s="59"/>
      <c r="B647" s="12"/>
      <c r="C647" s="12"/>
      <c r="D647" s="12"/>
    </row>
    <row r="648">
      <c r="A648" s="59"/>
      <c r="B648" s="12"/>
      <c r="C648" s="12"/>
      <c r="D648" s="12"/>
    </row>
    <row r="649">
      <c r="A649" s="59"/>
      <c r="B649" s="12"/>
      <c r="C649" s="12"/>
      <c r="D649" s="12"/>
    </row>
    <row r="650">
      <c r="A650" s="59"/>
      <c r="B650" s="12"/>
      <c r="C650" s="12"/>
      <c r="D650" s="12"/>
    </row>
    <row r="651">
      <c r="A651" s="59"/>
      <c r="B651" s="12"/>
      <c r="C651" s="12"/>
      <c r="D651" s="12"/>
    </row>
    <row r="652">
      <c r="A652" s="59"/>
      <c r="B652" s="12"/>
      <c r="C652" s="12"/>
      <c r="D652" s="12"/>
    </row>
    <row r="653">
      <c r="A653" s="59"/>
      <c r="B653" s="12"/>
      <c r="C653" s="12"/>
      <c r="D653" s="12"/>
    </row>
    <row r="654">
      <c r="A654" s="59"/>
      <c r="B654" s="12"/>
      <c r="C654" s="12"/>
      <c r="D654" s="12"/>
    </row>
    <row r="655">
      <c r="A655" s="59"/>
      <c r="B655" s="12"/>
      <c r="C655" s="12"/>
      <c r="D655" s="12"/>
    </row>
    <row r="656">
      <c r="A656" s="59"/>
      <c r="B656" s="12"/>
      <c r="C656" s="12"/>
      <c r="D656" s="12"/>
    </row>
    <row r="657">
      <c r="A657" s="59"/>
      <c r="B657" s="12"/>
      <c r="C657" s="12"/>
      <c r="D657" s="12"/>
    </row>
    <row r="658">
      <c r="A658" s="59"/>
      <c r="B658" s="12"/>
      <c r="C658" s="12"/>
      <c r="D658" s="12"/>
    </row>
    <row r="659">
      <c r="A659" s="59"/>
      <c r="B659" s="12"/>
      <c r="C659" s="12"/>
      <c r="D659" s="12"/>
    </row>
    <row r="660">
      <c r="A660" s="59"/>
      <c r="B660" s="12"/>
      <c r="C660" s="12"/>
      <c r="D660" s="12"/>
    </row>
    <row r="661">
      <c r="A661" s="59"/>
      <c r="B661" s="12"/>
      <c r="C661" s="12"/>
      <c r="D661" s="12"/>
    </row>
    <row r="662">
      <c r="A662" s="59"/>
      <c r="B662" s="12"/>
      <c r="C662" s="12"/>
      <c r="D662" s="12"/>
    </row>
    <row r="663">
      <c r="A663" s="59"/>
      <c r="B663" s="12"/>
      <c r="C663" s="12"/>
      <c r="D663" s="12"/>
    </row>
    <row r="664">
      <c r="A664" s="59"/>
      <c r="B664" s="12"/>
      <c r="C664" s="12"/>
      <c r="D664" s="12"/>
    </row>
    <row r="665">
      <c r="A665" s="59"/>
      <c r="B665" s="12"/>
      <c r="C665" s="12"/>
      <c r="D665" s="12"/>
    </row>
    <row r="666">
      <c r="A666" s="59"/>
      <c r="B666" s="12"/>
      <c r="C666" s="12"/>
      <c r="D666" s="12"/>
    </row>
    <row r="667">
      <c r="A667" s="59"/>
      <c r="B667" s="12"/>
      <c r="C667" s="12"/>
      <c r="D667" s="12"/>
    </row>
    <row r="668">
      <c r="A668" s="59"/>
      <c r="B668" s="12"/>
      <c r="C668" s="12"/>
      <c r="D668" s="12"/>
    </row>
    <row r="669">
      <c r="A669" s="59"/>
      <c r="B669" s="12"/>
      <c r="C669" s="12"/>
      <c r="D669" s="12"/>
    </row>
    <row r="670">
      <c r="A670" s="59"/>
      <c r="B670" s="12"/>
      <c r="C670" s="12"/>
      <c r="D670" s="12"/>
    </row>
    <row r="671">
      <c r="A671" s="59"/>
      <c r="B671" s="12"/>
      <c r="C671" s="12"/>
      <c r="D671" s="12"/>
    </row>
    <row r="672">
      <c r="A672" s="59"/>
      <c r="B672" s="12"/>
      <c r="C672" s="12"/>
      <c r="D672" s="12"/>
    </row>
    <row r="673">
      <c r="A673" s="59"/>
      <c r="B673" s="12"/>
      <c r="C673" s="12"/>
      <c r="D673" s="12"/>
    </row>
    <row r="674">
      <c r="A674" s="59"/>
      <c r="B674" s="12"/>
      <c r="C674" s="12"/>
      <c r="D674" s="12"/>
    </row>
    <row r="675">
      <c r="A675" s="59"/>
      <c r="B675" s="12"/>
      <c r="C675" s="12"/>
      <c r="D675" s="12"/>
    </row>
    <row r="676">
      <c r="A676" s="59"/>
      <c r="B676" s="12"/>
      <c r="C676" s="12"/>
      <c r="D676" s="12"/>
    </row>
    <row r="677">
      <c r="A677" s="59"/>
      <c r="B677" s="12"/>
      <c r="C677" s="12"/>
      <c r="D677" s="12"/>
    </row>
    <row r="678">
      <c r="A678" s="59"/>
      <c r="B678" s="12"/>
      <c r="C678" s="12"/>
      <c r="D678" s="12"/>
    </row>
    <row r="679">
      <c r="A679" s="59"/>
      <c r="B679" s="12"/>
      <c r="C679" s="12"/>
      <c r="D679" s="12"/>
    </row>
    <row r="680">
      <c r="A680" s="59"/>
      <c r="B680" s="12"/>
      <c r="C680" s="12"/>
      <c r="D680" s="12"/>
    </row>
    <row r="681">
      <c r="A681" s="59"/>
      <c r="B681" s="12"/>
      <c r="C681" s="12"/>
      <c r="D681" s="12"/>
    </row>
    <row r="682">
      <c r="A682" s="59"/>
      <c r="B682" s="12"/>
      <c r="C682" s="12"/>
      <c r="D682" s="12"/>
    </row>
    <row r="683">
      <c r="A683" s="59"/>
      <c r="B683" s="12"/>
      <c r="C683" s="12"/>
      <c r="D683" s="12"/>
    </row>
    <row r="684">
      <c r="A684" s="59"/>
      <c r="B684" s="12"/>
      <c r="C684" s="12"/>
      <c r="D684" s="12"/>
    </row>
    <row r="685">
      <c r="A685" s="59"/>
      <c r="B685" s="12"/>
      <c r="C685" s="12"/>
      <c r="D685" s="12"/>
    </row>
    <row r="686">
      <c r="A686" s="59"/>
      <c r="B686" s="12"/>
      <c r="C686" s="12"/>
      <c r="D686" s="12"/>
    </row>
    <row r="687">
      <c r="A687" s="59"/>
      <c r="B687" s="12"/>
      <c r="C687" s="12"/>
      <c r="D687" s="12"/>
    </row>
    <row r="688">
      <c r="A688" s="59"/>
      <c r="B688" s="12"/>
      <c r="C688" s="12"/>
      <c r="D688" s="12"/>
    </row>
    <row r="689">
      <c r="A689" s="59"/>
      <c r="B689" s="12"/>
      <c r="C689" s="12"/>
      <c r="D689" s="12"/>
    </row>
    <row r="690">
      <c r="A690" s="59"/>
      <c r="B690" s="12"/>
      <c r="C690" s="12"/>
      <c r="D690" s="12"/>
    </row>
    <row r="691">
      <c r="A691" s="59"/>
      <c r="B691" s="12"/>
      <c r="C691" s="12"/>
      <c r="D691" s="12"/>
    </row>
    <row r="692">
      <c r="A692" s="59"/>
      <c r="B692" s="12"/>
      <c r="C692" s="12"/>
      <c r="D692" s="12"/>
    </row>
    <row r="693">
      <c r="A693" s="59"/>
      <c r="B693" s="12"/>
      <c r="C693" s="12"/>
      <c r="D693" s="12"/>
    </row>
    <row r="694">
      <c r="A694" s="59"/>
      <c r="B694" s="12"/>
      <c r="C694" s="12"/>
      <c r="D694" s="12"/>
    </row>
    <row r="695">
      <c r="A695" s="59"/>
      <c r="B695" s="12"/>
      <c r="C695" s="12"/>
      <c r="D695" s="12"/>
    </row>
    <row r="696">
      <c r="A696" s="59"/>
      <c r="B696" s="12"/>
      <c r="C696" s="12"/>
      <c r="D696" s="12"/>
    </row>
    <row r="697">
      <c r="A697" s="59"/>
      <c r="B697" s="12"/>
      <c r="C697" s="12"/>
      <c r="D697" s="12"/>
    </row>
    <row r="698">
      <c r="A698" s="59"/>
      <c r="B698" s="12"/>
      <c r="C698" s="12"/>
      <c r="D698" s="12"/>
    </row>
    <row r="699">
      <c r="A699" s="59"/>
      <c r="B699" s="12"/>
      <c r="C699" s="12"/>
      <c r="D699" s="12"/>
    </row>
    <row r="700">
      <c r="A700" s="59"/>
      <c r="B700" s="12"/>
      <c r="C700" s="12"/>
      <c r="D700" s="12"/>
    </row>
    <row r="701">
      <c r="A701" s="59"/>
      <c r="B701" s="12"/>
      <c r="C701" s="12"/>
      <c r="D701" s="12"/>
    </row>
    <row r="702">
      <c r="A702" s="59"/>
      <c r="B702" s="12"/>
      <c r="C702" s="12"/>
      <c r="D702" s="12"/>
    </row>
    <row r="703">
      <c r="A703" s="59"/>
      <c r="B703" s="12"/>
      <c r="C703" s="12"/>
      <c r="D703" s="12"/>
    </row>
    <row r="704">
      <c r="A704" s="59"/>
      <c r="B704" s="12"/>
      <c r="C704" s="12"/>
      <c r="D704" s="12"/>
    </row>
    <row r="705">
      <c r="A705" s="59"/>
      <c r="B705" s="12"/>
      <c r="C705" s="12"/>
      <c r="D705" s="12"/>
    </row>
    <row r="706">
      <c r="A706" s="59"/>
      <c r="B706" s="12"/>
      <c r="C706" s="12"/>
      <c r="D706" s="12"/>
    </row>
    <row r="707">
      <c r="A707" s="59"/>
      <c r="B707" s="12"/>
      <c r="C707" s="12"/>
      <c r="D707" s="12"/>
    </row>
    <row r="708">
      <c r="A708" s="59"/>
      <c r="B708" s="12"/>
      <c r="C708" s="12"/>
      <c r="D708" s="12"/>
    </row>
    <row r="709">
      <c r="A709" s="59"/>
      <c r="B709" s="12"/>
      <c r="C709" s="12"/>
      <c r="D709" s="12"/>
    </row>
    <row r="710">
      <c r="A710" s="59"/>
      <c r="B710" s="12"/>
      <c r="C710" s="12"/>
      <c r="D710" s="12"/>
    </row>
    <row r="711">
      <c r="A711" s="59"/>
      <c r="B711" s="12"/>
      <c r="C711" s="12"/>
      <c r="D711" s="12"/>
    </row>
    <row r="712">
      <c r="A712" s="59"/>
      <c r="B712" s="12"/>
      <c r="C712" s="12"/>
      <c r="D712" s="12"/>
    </row>
    <row r="713">
      <c r="A713" s="59"/>
      <c r="B713" s="12"/>
      <c r="C713" s="12"/>
      <c r="D713" s="12"/>
    </row>
    <row r="714">
      <c r="A714" s="59"/>
      <c r="B714" s="12"/>
      <c r="C714" s="12"/>
      <c r="D714" s="12"/>
    </row>
    <row r="715">
      <c r="A715" s="59"/>
      <c r="B715" s="12"/>
      <c r="C715" s="12"/>
      <c r="D715" s="12"/>
    </row>
    <row r="716">
      <c r="A716" s="59"/>
      <c r="B716" s="12"/>
      <c r="C716" s="12"/>
      <c r="D716" s="12"/>
    </row>
    <row r="717">
      <c r="A717" s="59"/>
      <c r="B717" s="12"/>
      <c r="C717" s="12"/>
      <c r="D717" s="12"/>
    </row>
    <row r="718">
      <c r="A718" s="59"/>
      <c r="B718" s="12"/>
      <c r="C718" s="12"/>
      <c r="D718" s="12"/>
    </row>
    <row r="719">
      <c r="A719" s="59"/>
      <c r="B719" s="12"/>
      <c r="C719" s="12"/>
      <c r="D719" s="12"/>
    </row>
    <row r="720">
      <c r="A720" s="59"/>
      <c r="B720" s="12"/>
      <c r="C720" s="12"/>
      <c r="D720" s="12"/>
    </row>
    <row r="721">
      <c r="A721" s="59"/>
      <c r="B721" s="12"/>
      <c r="C721" s="12"/>
      <c r="D721" s="12"/>
    </row>
    <row r="722">
      <c r="A722" s="59"/>
      <c r="B722" s="12"/>
      <c r="C722" s="12"/>
      <c r="D722" s="12"/>
    </row>
    <row r="723">
      <c r="A723" s="59"/>
      <c r="B723" s="12"/>
      <c r="C723" s="12"/>
      <c r="D723" s="12"/>
    </row>
    <row r="724">
      <c r="A724" s="59"/>
      <c r="B724" s="12"/>
      <c r="C724" s="12"/>
      <c r="D724" s="12"/>
    </row>
    <row r="725">
      <c r="A725" s="59"/>
      <c r="B725" s="12"/>
      <c r="C725" s="12"/>
      <c r="D725" s="12"/>
    </row>
    <row r="726">
      <c r="A726" s="59"/>
      <c r="B726" s="12"/>
      <c r="C726" s="12"/>
      <c r="D726" s="12"/>
    </row>
    <row r="727">
      <c r="A727" s="59"/>
      <c r="B727" s="12"/>
      <c r="C727" s="12"/>
      <c r="D727" s="12"/>
    </row>
    <row r="728">
      <c r="A728" s="59"/>
      <c r="B728" s="12"/>
      <c r="C728" s="12"/>
      <c r="D728" s="12"/>
    </row>
    <row r="729">
      <c r="A729" s="59"/>
      <c r="B729" s="12"/>
      <c r="C729" s="12"/>
      <c r="D729" s="12"/>
    </row>
    <row r="730">
      <c r="A730" s="59"/>
      <c r="B730" s="12"/>
      <c r="C730" s="12"/>
      <c r="D730" s="12"/>
    </row>
    <row r="731">
      <c r="A731" s="59"/>
      <c r="B731" s="12"/>
      <c r="C731" s="12"/>
      <c r="D731" s="12"/>
    </row>
    <row r="732">
      <c r="A732" s="59"/>
      <c r="B732" s="12"/>
      <c r="C732" s="12"/>
      <c r="D732" s="12"/>
    </row>
    <row r="733">
      <c r="A733" s="59"/>
      <c r="B733" s="12"/>
      <c r="C733" s="12"/>
      <c r="D733" s="12"/>
    </row>
    <row r="734">
      <c r="A734" s="59"/>
      <c r="B734" s="12"/>
      <c r="C734" s="12"/>
      <c r="D734" s="12"/>
    </row>
    <row r="735">
      <c r="A735" s="59"/>
      <c r="B735" s="12"/>
      <c r="C735" s="12"/>
      <c r="D735" s="12"/>
    </row>
    <row r="736">
      <c r="A736" s="59"/>
      <c r="B736" s="12"/>
      <c r="C736" s="12"/>
      <c r="D736" s="12"/>
    </row>
    <row r="737">
      <c r="A737" s="59"/>
      <c r="B737" s="12"/>
      <c r="C737" s="12"/>
      <c r="D737" s="12"/>
    </row>
    <row r="738">
      <c r="A738" s="59"/>
      <c r="B738" s="12"/>
      <c r="C738" s="12"/>
      <c r="D738" s="12"/>
    </row>
    <row r="739">
      <c r="A739" s="59"/>
      <c r="B739" s="12"/>
      <c r="C739" s="12"/>
      <c r="D739" s="12"/>
    </row>
    <row r="740">
      <c r="A740" s="59"/>
      <c r="B740" s="12"/>
      <c r="C740" s="12"/>
      <c r="D740" s="12"/>
    </row>
    <row r="741">
      <c r="A741" s="59"/>
      <c r="B741" s="12"/>
      <c r="C741" s="12"/>
      <c r="D741" s="12"/>
    </row>
    <row r="742">
      <c r="A742" s="59"/>
      <c r="B742" s="12"/>
      <c r="C742" s="12"/>
      <c r="D742" s="12"/>
    </row>
    <row r="743">
      <c r="A743" s="59"/>
      <c r="B743" s="12"/>
      <c r="C743" s="12"/>
      <c r="D743" s="12"/>
    </row>
    <row r="744">
      <c r="A744" s="59"/>
      <c r="B744" s="12"/>
      <c r="C744" s="12"/>
      <c r="D744" s="12"/>
    </row>
    <row r="745">
      <c r="A745" s="59"/>
      <c r="B745" s="12"/>
      <c r="C745" s="12"/>
      <c r="D745" s="12"/>
    </row>
    <row r="746">
      <c r="A746" s="59"/>
      <c r="B746" s="12"/>
      <c r="C746" s="12"/>
      <c r="D746" s="12"/>
    </row>
    <row r="747">
      <c r="A747" s="59"/>
      <c r="B747" s="12"/>
      <c r="C747" s="12"/>
      <c r="D747" s="12"/>
    </row>
    <row r="748">
      <c r="A748" s="59"/>
      <c r="B748" s="12"/>
      <c r="C748" s="12"/>
      <c r="D748" s="12"/>
    </row>
    <row r="749">
      <c r="A749" s="59"/>
      <c r="B749" s="12"/>
      <c r="C749" s="12"/>
      <c r="D749" s="12"/>
    </row>
    <row r="750">
      <c r="A750" s="59"/>
      <c r="B750" s="12"/>
      <c r="C750" s="12"/>
      <c r="D750" s="12"/>
    </row>
    <row r="751">
      <c r="A751" s="59"/>
      <c r="B751" s="12"/>
      <c r="C751" s="12"/>
      <c r="D751" s="12"/>
    </row>
    <row r="752">
      <c r="A752" s="59"/>
      <c r="B752" s="12"/>
      <c r="C752" s="12"/>
      <c r="D752" s="12"/>
    </row>
    <row r="753">
      <c r="A753" s="59"/>
      <c r="B753" s="12"/>
      <c r="C753" s="12"/>
      <c r="D753" s="12"/>
    </row>
    <row r="754">
      <c r="A754" s="59"/>
      <c r="B754" s="12"/>
      <c r="C754" s="12"/>
      <c r="D754" s="12"/>
    </row>
    <row r="755">
      <c r="A755" s="59"/>
      <c r="B755" s="12"/>
      <c r="C755" s="12"/>
      <c r="D755" s="12"/>
    </row>
    <row r="756">
      <c r="A756" s="59"/>
      <c r="B756" s="12"/>
      <c r="C756" s="12"/>
      <c r="D756" s="12"/>
    </row>
    <row r="757">
      <c r="A757" s="59"/>
      <c r="B757" s="12"/>
      <c r="C757" s="12"/>
      <c r="D757" s="12"/>
    </row>
    <row r="758">
      <c r="A758" s="59"/>
      <c r="B758" s="12"/>
      <c r="C758" s="12"/>
      <c r="D758" s="12"/>
    </row>
    <row r="759">
      <c r="A759" s="59"/>
      <c r="B759" s="12"/>
      <c r="C759" s="12"/>
      <c r="D759" s="12"/>
    </row>
    <row r="760">
      <c r="A760" s="59"/>
      <c r="B760" s="12"/>
      <c r="C760" s="12"/>
      <c r="D760" s="12"/>
    </row>
    <row r="761">
      <c r="A761" s="59"/>
      <c r="B761" s="12"/>
      <c r="C761" s="12"/>
      <c r="D761" s="12"/>
    </row>
    <row r="762">
      <c r="A762" s="59"/>
      <c r="B762" s="12"/>
      <c r="C762" s="12"/>
      <c r="D762" s="12"/>
    </row>
    <row r="763">
      <c r="A763" s="59"/>
      <c r="B763" s="12"/>
      <c r="C763" s="12"/>
      <c r="D763" s="12"/>
    </row>
    <row r="764">
      <c r="A764" s="59"/>
      <c r="B764" s="12"/>
      <c r="C764" s="12"/>
      <c r="D764" s="12"/>
    </row>
    <row r="765">
      <c r="A765" s="59"/>
      <c r="B765" s="12"/>
      <c r="C765" s="12"/>
      <c r="D765" s="12"/>
    </row>
    <row r="766">
      <c r="A766" s="59"/>
      <c r="B766" s="12"/>
      <c r="C766" s="12"/>
      <c r="D766" s="12"/>
    </row>
    <row r="767">
      <c r="A767" s="59"/>
      <c r="B767" s="12"/>
      <c r="C767" s="12"/>
      <c r="D767" s="12"/>
    </row>
    <row r="768">
      <c r="A768" s="59"/>
      <c r="B768" s="12"/>
      <c r="C768" s="12"/>
      <c r="D768" s="12"/>
    </row>
    <row r="769">
      <c r="A769" s="59"/>
      <c r="B769" s="12"/>
      <c r="C769" s="12"/>
      <c r="D769" s="12"/>
    </row>
    <row r="770">
      <c r="A770" s="59"/>
      <c r="B770" s="12"/>
      <c r="C770" s="12"/>
      <c r="D770" s="12"/>
    </row>
    <row r="771">
      <c r="A771" s="59"/>
      <c r="B771" s="12"/>
      <c r="C771" s="12"/>
      <c r="D771" s="12"/>
    </row>
    <row r="772">
      <c r="A772" s="59"/>
      <c r="B772" s="12"/>
      <c r="C772" s="12"/>
      <c r="D772" s="12"/>
    </row>
    <row r="773">
      <c r="A773" s="59"/>
      <c r="B773" s="12"/>
      <c r="C773" s="12"/>
      <c r="D773" s="12"/>
    </row>
    <row r="774">
      <c r="A774" s="59"/>
      <c r="B774" s="12"/>
      <c r="C774" s="12"/>
      <c r="D774" s="12"/>
    </row>
    <row r="775">
      <c r="A775" s="59"/>
      <c r="B775" s="12"/>
      <c r="C775" s="12"/>
      <c r="D775" s="12"/>
    </row>
    <row r="776">
      <c r="A776" s="59"/>
      <c r="B776" s="12"/>
      <c r="C776" s="12"/>
      <c r="D776" s="12"/>
    </row>
    <row r="777">
      <c r="A777" s="59"/>
      <c r="B777" s="12"/>
      <c r="C777" s="12"/>
      <c r="D777" s="12"/>
    </row>
    <row r="778">
      <c r="A778" s="59"/>
      <c r="B778" s="12"/>
      <c r="C778" s="12"/>
      <c r="D778" s="12"/>
    </row>
    <row r="779">
      <c r="A779" s="59"/>
      <c r="B779" s="12"/>
      <c r="C779" s="12"/>
      <c r="D779" s="12"/>
    </row>
    <row r="780">
      <c r="A780" s="59"/>
      <c r="B780" s="12"/>
      <c r="C780" s="12"/>
      <c r="D780" s="12"/>
    </row>
    <row r="781">
      <c r="A781" s="59"/>
      <c r="B781" s="12"/>
      <c r="C781" s="12"/>
      <c r="D781" s="12"/>
    </row>
    <row r="782">
      <c r="A782" s="59"/>
      <c r="B782" s="12"/>
      <c r="C782" s="12"/>
      <c r="D782" s="12"/>
    </row>
    <row r="783">
      <c r="A783" s="59"/>
      <c r="B783" s="12"/>
      <c r="C783" s="12"/>
      <c r="D783" s="12"/>
    </row>
    <row r="784">
      <c r="A784" s="59"/>
      <c r="B784" s="12"/>
      <c r="C784" s="12"/>
      <c r="D784" s="12"/>
    </row>
    <row r="785">
      <c r="A785" s="59"/>
      <c r="B785" s="12"/>
      <c r="C785" s="12"/>
      <c r="D785" s="12"/>
    </row>
    <row r="786">
      <c r="A786" s="59"/>
      <c r="B786" s="12"/>
      <c r="C786" s="12"/>
      <c r="D786" s="12"/>
    </row>
    <row r="787">
      <c r="A787" s="59"/>
      <c r="B787" s="12"/>
      <c r="C787" s="12"/>
      <c r="D787" s="12"/>
    </row>
    <row r="788">
      <c r="A788" s="59"/>
      <c r="B788" s="12"/>
      <c r="C788" s="12"/>
      <c r="D788" s="12"/>
    </row>
    <row r="789">
      <c r="A789" s="59"/>
      <c r="B789" s="12"/>
      <c r="C789" s="12"/>
      <c r="D789" s="12"/>
    </row>
    <row r="790">
      <c r="A790" s="59"/>
      <c r="B790" s="12"/>
      <c r="C790" s="12"/>
      <c r="D790" s="12"/>
    </row>
    <row r="791">
      <c r="A791" s="59"/>
      <c r="B791" s="12"/>
      <c r="C791" s="12"/>
      <c r="D791" s="12"/>
    </row>
    <row r="792">
      <c r="A792" s="59"/>
      <c r="B792" s="12"/>
      <c r="C792" s="12"/>
      <c r="D792" s="12"/>
    </row>
    <row r="793">
      <c r="A793" s="59"/>
      <c r="B793" s="12"/>
      <c r="C793" s="12"/>
      <c r="D793" s="12"/>
    </row>
    <row r="794">
      <c r="A794" s="59"/>
      <c r="B794" s="12"/>
      <c r="C794" s="12"/>
      <c r="D794" s="12"/>
    </row>
    <row r="795">
      <c r="A795" s="59"/>
      <c r="B795" s="12"/>
      <c r="C795" s="12"/>
      <c r="D795" s="12"/>
    </row>
    <row r="796">
      <c r="A796" s="59"/>
      <c r="B796" s="12"/>
      <c r="C796" s="12"/>
      <c r="D796" s="12"/>
    </row>
    <row r="797">
      <c r="A797" s="59"/>
      <c r="B797" s="12"/>
      <c r="C797" s="12"/>
      <c r="D797" s="12"/>
    </row>
    <row r="798">
      <c r="A798" s="59"/>
      <c r="B798" s="12"/>
      <c r="C798" s="12"/>
      <c r="D798" s="12"/>
    </row>
    <row r="799">
      <c r="A799" s="59"/>
      <c r="B799" s="12"/>
      <c r="C799" s="12"/>
      <c r="D799" s="12"/>
    </row>
    <row r="800">
      <c r="A800" s="59"/>
      <c r="B800" s="12"/>
      <c r="C800" s="12"/>
      <c r="D800" s="12"/>
    </row>
    <row r="801">
      <c r="A801" s="59"/>
      <c r="B801" s="12"/>
      <c r="C801" s="12"/>
      <c r="D801" s="12"/>
    </row>
    <row r="802">
      <c r="A802" s="59"/>
      <c r="B802" s="12"/>
      <c r="C802" s="12"/>
      <c r="D802" s="12"/>
    </row>
    <row r="803">
      <c r="A803" s="59"/>
      <c r="B803" s="12"/>
      <c r="C803" s="12"/>
      <c r="D803" s="12"/>
    </row>
    <row r="804">
      <c r="A804" s="59"/>
      <c r="B804" s="12"/>
      <c r="C804" s="12"/>
      <c r="D804" s="12"/>
    </row>
    <row r="805">
      <c r="A805" s="59"/>
      <c r="B805" s="12"/>
      <c r="C805" s="12"/>
      <c r="D805" s="12"/>
    </row>
    <row r="806">
      <c r="A806" s="59"/>
      <c r="B806" s="12"/>
      <c r="C806" s="12"/>
      <c r="D806" s="12"/>
    </row>
    <row r="807">
      <c r="A807" s="59"/>
      <c r="B807" s="12"/>
      <c r="C807" s="12"/>
      <c r="D807" s="12"/>
    </row>
    <row r="808">
      <c r="A808" s="59"/>
      <c r="B808" s="12"/>
      <c r="C808" s="12"/>
      <c r="D808" s="12"/>
    </row>
    <row r="809">
      <c r="A809" s="59"/>
      <c r="B809" s="12"/>
      <c r="C809" s="12"/>
      <c r="D809" s="12"/>
    </row>
    <row r="810">
      <c r="A810" s="59"/>
      <c r="B810" s="12"/>
      <c r="C810" s="12"/>
      <c r="D810" s="12"/>
    </row>
    <row r="811">
      <c r="A811" s="59"/>
      <c r="B811" s="12"/>
      <c r="C811" s="12"/>
      <c r="D811" s="12"/>
    </row>
    <row r="812">
      <c r="A812" s="59"/>
      <c r="B812" s="12"/>
      <c r="C812" s="12"/>
      <c r="D812" s="12"/>
    </row>
    <row r="813">
      <c r="A813" s="59"/>
      <c r="B813" s="12"/>
      <c r="C813" s="12"/>
      <c r="D813" s="12"/>
    </row>
    <row r="814">
      <c r="A814" s="59"/>
      <c r="B814" s="12"/>
      <c r="C814" s="12"/>
      <c r="D814" s="12"/>
    </row>
    <row r="815">
      <c r="A815" s="59"/>
      <c r="B815" s="12"/>
      <c r="C815" s="12"/>
      <c r="D815" s="12"/>
    </row>
    <row r="816">
      <c r="A816" s="59"/>
      <c r="B816" s="12"/>
      <c r="C816" s="12"/>
      <c r="D816" s="12"/>
    </row>
    <row r="817">
      <c r="A817" s="59"/>
      <c r="B817" s="12"/>
      <c r="C817" s="12"/>
      <c r="D817" s="12"/>
    </row>
    <row r="818">
      <c r="A818" s="59"/>
      <c r="B818" s="12"/>
      <c r="C818" s="12"/>
      <c r="D818" s="12"/>
    </row>
    <row r="819">
      <c r="A819" s="59"/>
      <c r="B819" s="12"/>
      <c r="C819" s="12"/>
      <c r="D819" s="12"/>
    </row>
    <row r="820">
      <c r="A820" s="59"/>
      <c r="B820" s="12"/>
      <c r="C820" s="12"/>
      <c r="D820" s="12"/>
    </row>
    <row r="821">
      <c r="A821" s="59"/>
      <c r="B821" s="12"/>
      <c r="C821" s="12"/>
      <c r="D821" s="12"/>
    </row>
    <row r="822">
      <c r="A822" s="59"/>
      <c r="B822" s="12"/>
      <c r="C822" s="12"/>
      <c r="D822" s="12"/>
    </row>
    <row r="823">
      <c r="A823" s="59"/>
      <c r="B823" s="12"/>
      <c r="C823" s="12"/>
      <c r="D823" s="12"/>
    </row>
    <row r="824">
      <c r="A824" s="59"/>
      <c r="B824" s="12"/>
      <c r="C824" s="12"/>
      <c r="D824" s="12"/>
    </row>
    <row r="825">
      <c r="A825" s="59"/>
      <c r="B825" s="12"/>
      <c r="C825" s="12"/>
      <c r="D825" s="12"/>
    </row>
    <row r="826">
      <c r="A826" s="59"/>
      <c r="B826" s="12"/>
      <c r="C826" s="12"/>
      <c r="D826" s="12"/>
    </row>
    <row r="827">
      <c r="A827" s="59"/>
      <c r="B827" s="12"/>
      <c r="C827" s="12"/>
      <c r="D827" s="12"/>
    </row>
    <row r="828">
      <c r="A828" s="59"/>
      <c r="B828" s="12"/>
      <c r="C828" s="12"/>
      <c r="D828" s="12"/>
    </row>
    <row r="829">
      <c r="A829" s="59"/>
      <c r="B829" s="12"/>
      <c r="C829" s="12"/>
      <c r="D829" s="12"/>
    </row>
    <row r="830">
      <c r="A830" s="59"/>
      <c r="B830" s="12"/>
      <c r="C830" s="12"/>
      <c r="D830" s="12"/>
    </row>
    <row r="831">
      <c r="A831" s="59"/>
      <c r="B831" s="12"/>
      <c r="C831" s="12"/>
      <c r="D831" s="12"/>
    </row>
    <row r="832">
      <c r="A832" s="59"/>
      <c r="B832" s="12"/>
      <c r="C832" s="12"/>
      <c r="D832" s="12"/>
    </row>
    <row r="833">
      <c r="A833" s="59"/>
      <c r="B833" s="12"/>
      <c r="C833" s="12"/>
      <c r="D833" s="12"/>
    </row>
    <row r="834">
      <c r="A834" s="59"/>
      <c r="B834" s="12"/>
      <c r="C834" s="12"/>
      <c r="D834" s="12"/>
    </row>
    <row r="835">
      <c r="A835" s="59"/>
      <c r="B835" s="12"/>
      <c r="C835" s="12"/>
      <c r="D835" s="12"/>
    </row>
    <row r="836">
      <c r="A836" s="59"/>
      <c r="B836" s="12"/>
      <c r="C836" s="12"/>
      <c r="D836" s="12"/>
    </row>
    <row r="837">
      <c r="A837" s="59"/>
      <c r="B837" s="12"/>
      <c r="C837" s="12"/>
      <c r="D837" s="12"/>
    </row>
    <row r="838">
      <c r="A838" s="59"/>
      <c r="B838" s="12"/>
      <c r="C838" s="12"/>
      <c r="D838" s="12"/>
    </row>
    <row r="839">
      <c r="A839" s="59"/>
      <c r="B839" s="12"/>
      <c r="C839" s="12"/>
      <c r="D839" s="12"/>
    </row>
    <row r="840">
      <c r="A840" s="59"/>
      <c r="B840" s="12"/>
      <c r="C840" s="12"/>
      <c r="D840" s="12"/>
    </row>
    <row r="841">
      <c r="A841" s="59"/>
      <c r="B841" s="12"/>
      <c r="C841" s="12"/>
      <c r="D841" s="12"/>
    </row>
    <row r="842">
      <c r="A842" s="59"/>
      <c r="B842" s="12"/>
      <c r="C842" s="12"/>
      <c r="D842" s="12"/>
    </row>
    <row r="843">
      <c r="A843" s="59"/>
      <c r="B843" s="12"/>
      <c r="C843" s="12"/>
      <c r="D843" s="12"/>
    </row>
    <row r="844">
      <c r="A844" s="59"/>
      <c r="B844" s="12"/>
      <c r="C844" s="12"/>
      <c r="D844" s="12"/>
    </row>
    <row r="845">
      <c r="A845" s="59"/>
      <c r="B845" s="12"/>
      <c r="C845" s="12"/>
      <c r="D845" s="12"/>
    </row>
    <row r="846">
      <c r="A846" s="59"/>
      <c r="B846" s="12"/>
      <c r="C846" s="12"/>
      <c r="D846" s="12"/>
    </row>
    <row r="847">
      <c r="A847" s="59"/>
      <c r="B847" s="12"/>
      <c r="C847" s="12"/>
      <c r="D847" s="12"/>
    </row>
    <row r="848">
      <c r="A848" s="59"/>
      <c r="B848" s="12"/>
      <c r="C848" s="12"/>
      <c r="D848" s="12"/>
    </row>
    <row r="849">
      <c r="A849" s="59"/>
      <c r="B849" s="12"/>
      <c r="C849" s="12"/>
      <c r="D849" s="12"/>
    </row>
    <row r="850">
      <c r="A850" s="59"/>
      <c r="B850" s="12"/>
      <c r="C850" s="12"/>
      <c r="D850" s="12"/>
    </row>
    <row r="851">
      <c r="A851" s="59"/>
      <c r="B851" s="12"/>
      <c r="C851" s="12"/>
      <c r="D851" s="12"/>
    </row>
    <row r="852">
      <c r="A852" s="59"/>
      <c r="B852" s="12"/>
      <c r="C852" s="12"/>
      <c r="D852" s="12"/>
    </row>
    <row r="853">
      <c r="A853" s="59"/>
      <c r="B853" s="12"/>
      <c r="C853" s="12"/>
      <c r="D853" s="12"/>
    </row>
    <row r="854">
      <c r="A854" s="59"/>
      <c r="B854" s="12"/>
      <c r="C854" s="12"/>
      <c r="D854" s="12"/>
    </row>
    <row r="855">
      <c r="A855" s="59"/>
      <c r="B855" s="12"/>
      <c r="C855" s="12"/>
      <c r="D855" s="12"/>
    </row>
    <row r="856">
      <c r="A856" s="59"/>
      <c r="B856" s="12"/>
      <c r="C856" s="12"/>
      <c r="D856" s="12"/>
    </row>
    <row r="857">
      <c r="A857" s="59"/>
      <c r="B857" s="12"/>
      <c r="C857" s="12"/>
      <c r="D857" s="12"/>
    </row>
    <row r="858">
      <c r="A858" s="59"/>
      <c r="B858" s="12"/>
      <c r="C858" s="12"/>
      <c r="D858" s="12"/>
    </row>
    <row r="859">
      <c r="A859" s="59"/>
      <c r="B859" s="12"/>
      <c r="C859" s="12"/>
      <c r="D859" s="12"/>
    </row>
    <row r="860">
      <c r="A860" s="59"/>
      <c r="B860" s="12"/>
      <c r="C860" s="12"/>
      <c r="D860" s="12"/>
    </row>
    <row r="861">
      <c r="A861" s="59"/>
      <c r="B861" s="12"/>
      <c r="C861" s="12"/>
      <c r="D861" s="12"/>
    </row>
    <row r="862">
      <c r="A862" s="59"/>
      <c r="B862" s="12"/>
      <c r="C862" s="12"/>
      <c r="D862" s="12"/>
    </row>
    <row r="863">
      <c r="A863" s="59"/>
      <c r="B863" s="12"/>
      <c r="C863" s="12"/>
      <c r="D863" s="12"/>
    </row>
    <row r="864">
      <c r="A864" s="59"/>
      <c r="B864" s="12"/>
      <c r="C864" s="12"/>
      <c r="D864" s="12"/>
    </row>
    <row r="865">
      <c r="A865" s="59"/>
      <c r="B865" s="12"/>
      <c r="C865" s="12"/>
      <c r="D865" s="12"/>
    </row>
    <row r="866">
      <c r="A866" s="59"/>
      <c r="B866" s="12"/>
      <c r="C866" s="12"/>
      <c r="D866" s="12"/>
    </row>
    <row r="867">
      <c r="A867" s="59"/>
      <c r="B867" s="12"/>
      <c r="C867" s="12"/>
      <c r="D867" s="12"/>
    </row>
    <row r="868">
      <c r="A868" s="59"/>
      <c r="B868" s="12"/>
      <c r="C868" s="12"/>
      <c r="D868" s="12"/>
    </row>
    <row r="869">
      <c r="A869" s="59"/>
      <c r="B869" s="12"/>
      <c r="C869" s="12"/>
      <c r="D869" s="12"/>
    </row>
    <row r="870">
      <c r="A870" s="59"/>
      <c r="B870" s="12"/>
      <c r="C870" s="12"/>
      <c r="D870" s="12"/>
    </row>
    <row r="871">
      <c r="A871" s="59"/>
      <c r="B871" s="12"/>
      <c r="C871" s="12"/>
      <c r="D871" s="12"/>
    </row>
    <row r="872">
      <c r="A872" s="59"/>
      <c r="B872" s="12"/>
      <c r="C872" s="12"/>
      <c r="D872" s="12"/>
    </row>
    <row r="873">
      <c r="A873" s="59"/>
      <c r="B873" s="12"/>
      <c r="C873" s="12"/>
      <c r="D873" s="12"/>
    </row>
    <row r="874">
      <c r="A874" s="59"/>
      <c r="B874" s="12"/>
      <c r="C874" s="12"/>
      <c r="D874" s="12"/>
    </row>
    <row r="875">
      <c r="A875" s="59"/>
      <c r="B875" s="12"/>
      <c r="C875" s="12"/>
      <c r="D875" s="12"/>
    </row>
    <row r="876">
      <c r="A876" s="59"/>
      <c r="B876" s="12"/>
      <c r="C876" s="12"/>
      <c r="D876" s="12"/>
    </row>
    <row r="877">
      <c r="A877" s="59"/>
      <c r="B877" s="12"/>
      <c r="C877" s="12"/>
      <c r="D877" s="12"/>
    </row>
    <row r="878">
      <c r="A878" s="59"/>
      <c r="B878" s="12"/>
      <c r="C878" s="12"/>
      <c r="D878" s="12"/>
    </row>
    <row r="879">
      <c r="A879" s="59"/>
      <c r="B879" s="12"/>
      <c r="C879" s="12"/>
      <c r="D879" s="12"/>
    </row>
    <row r="880">
      <c r="A880" s="59"/>
      <c r="B880" s="12"/>
      <c r="C880" s="12"/>
      <c r="D880" s="12"/>
    </row>
    <row r="881">
      <c r="A881" s="59"/>
      <c r="B881" s="12"/>
      <c r="C881" s="12"/>
      <c r="D881" s="12"/>
    </row>
    <row r="882">
      <c r="A882" s="59"/>
      <c r="B882" s="12"/>
      <c r="C882" s="12"/>
      <c r="D882" s="12"/>
    </row>
    <row r="883">
      <c r="A883" s="59"/>
      <c r="B883" s="12"/>
      <c r="C883" s="12"/>
      <c r="D883" s="12"/>
    </row>
    <row r="884">
      <c r="A884" s="59"/>
      <c r="B884" s="12"/>
      <c r="C884" s="12"/>
      <c r="D884" s="12"/>
    </row>
    <row r="885">
      <c r="A885" s="59"/>
      <c r="B885" s="12"/>
      <c r="C885" s="12"/>
      <c r="D885" s="12"/>
    </row>
    <row r="886">
      <c r="A886" s="59"/>
      <c r="B886" s="12"/>
      <c r="C886" s="12"/>
      <c r="D886" s="12"/>
    </row>
    <row r="887">
      <c r="A887" s="59"/>
      <c r="B887" s="12"/>
      <c r="C887" s="12"/>
      <c r="D887" s="12"/>
    </row>
    <row r="888">
      <c r="A888" s="59"/>
      <c r="B888" s="12"/>
      <c r="C888" s="12"/>
      <c r="D888" s="12"/>
    </row>
    <row r="889">
      <c r="A889" s="59"/>
      <c r="B889" s="12"/>
      <c r="C889" s="12"/>
      <c r="D889" s="12"/>
    </row>
    <row r="890">
      <c r="A890" s="59"/>
      <c r="B890" s="12"/>
      <c r="C890" s="12"/>
      <c r="D890" s="12"/>
    </row>
    <row r="891">
      <c r="A891" s="59"/>
      <c r="B891" s="12"/>
      <c r="C891" s="12"/>
      <c r="D891" s="12"/>
    </row>
    <row r="892">
      <c r="A892" s="59"/>
      <c r="B892" s="12"/>
      <c r="C892" s="12"/>
      <c r="D892" s="12"/>
    </row>
    <row r="893">
      <c r="A893" s="59"/>
      <c r="B893" s="12"/>
      <c r="C893" s="12"/>
      <c r="D893" s="12"/>
    </row>
    <row r="894">
      <c r="A894" s="59"/>
      <c r="B894" s="12"/>
      <c r="C894" s="12"/>
      <c r="D894" s="12"/>
    </row>
    <row r="895">
      <c r="A895" s="59"/>
      <c r="B895" s="12"/>
      <c r="C895" s="12"/>
      <c r="D895" s="12"/>
    </row>
    <row r="896">
      <c r="A896" s="59"/>
      <c r="B896" s="12"/>
      <c r="C896" s="12"/>
      <c r="D896" s="12"/>
    </row>
    <row r="897">
      <c r="A897" s="59"/>
      <c r="B897" s="12"/>
      <c r="C897" s="12"/>
      <c r="D897" s="12"/>
    </row>
    <row r="898">
      <c r="A898" s="59"/>
      <c r="B898" s="12"/>
      <c r="C898" s="12"/>
      <c r="D898" s="12"/>
    </row>
    <row r="899">
      <c r="A899" s="59"/>
      <c r="B899" s="12"/>
      <c r="C899" s="12"/>
      <c r="D899" s="12"/>
    </row>
    <row r="900">
      <c r="A900" s="59"/>
      <c r="B900" s="12"/>
      <c r="C900" s="12"/>
      <c r="D900" s="12"/>
    </row>
    <row r="901">
      <c r="A901" s="59"/>
      <c r="B901" s="12"/>
      <c r="C901" s="12"/>
      <c r="D901" s="12"/>
    </row>
    <row r="902">
      <c r="A902" s="59"/>
      <c r="B902" s="12"/>
      <c r="C902" s="12"/>
      <c r="D902" s="12"/>
    </row>
    <row r="903">
      <c r="A903" s="59"/>
      <c r="B903" s="12"/>
      <c r="C903" s="12"/>
      <c r="D903" s="12"/>
    </row>
    <row r="904">
      <c r="A904" s="59"/>
      <c r="B904" s="12"/>
      <c r="C904" s="12"/>
      <c r="D904" s="12"/>
    </row>
    <row r="905">
      <c r="A905" s="59"/>
      <c r="B905" s="12"/>
      <c r="C905" s="12"/>
      <c r="D905" s="12"/>
    </row>
    <row r="906">
      <c r="A906" s="59"/>
      <c r="B906" s="12"/>
      <c r="C906" s="12"/>
      <c r="D906" s="12"/>
    </row>
    <row r="907">
      <c r="A907" s="59"/>
      <c r="B907" s="12"/>
      <c r="C907" s="12"/>
      <c r="D907" s="12"/>
    </row>
    <row r="908">
      <c r="A908" s="59"/>
      <c r="B908" s="12"/>
      <c r="C908" s="12"/>
      <c r="D908" s="12"/>
    </row>
    <row r="909">
      <c r="A909" s="59"/>
      <c r="B909" s="12"/>
      <c r="C909" s="12"/>
      <c r="D909" s="12"/>
    </row>
    <row r="910">
      <c r="A910" s="59"/>
      <c r="B910" s="12"/>
      <c r="C910" s="12"/>
      <c r="D910" s="12"/>
    </row>
    <row r="911">
      <c r="A911" s="59"/>
      <c r="B911" s="12"/>
      <c r="C911" s="12"/>
      <c r="D911" s="12"/>
    </row>
    <row r="912">
      <c r="A912" s="59"/>
      <c r="B912" s="12"/>
      <c r="C912" s="12"/>
      <c r="D912" s="12"/>
    </row>
    <row r="913">
      <c r="A913" s="59"/>
      <c r="B913" s="12"/>
      <c r="C913" s="12"/>
      <c r="D913" s="12"/>
    </row>
    <row r="914">
      <c r="A914" s="59"/>
      <c r="B914" s="12"/>
      <c r="C914" s="12"/>
      <c r="D914" s="12"/>
    </row>
    <row r="915">
      <c r="A915" s="59"/>
      <c r="B915" s="12"/>
      <c r="C915" s="12"/>
      <c r="D915" s="12"/>
    </row>
    <row r="916">
      <c r="A916" s="59"/>
      <c r="B916" s="12"/>
      <c r="C916" s="12"/>
      <c r="D916" s="12"/>
    </row>
    <row r="917">
      <c r="A917" s="59"/>
      <c r="B917" s="12"/>
      <c r="C917" s="12"/>
      <c r="D917" s="12"/>
    </row>
    <row r="918">
      <c r="A918" s="59"/>
      <c r="B918" s="12"/>
      <c r="C918" s="12"/>
      <c r="D918" s="12"/>
    </row>
    <row r="919">
      <c r="A919" s="59"/>
      <c r="B919" s="12"/>
      <c r="C919" s="12"/>
      <c r="D919" s="12"/>
    </row>
    <row r="920">
      <c r="A920" s="59"/>
      <c r="B920" s="12"/>
      <c r="C920" s="12"/>
      <c r="D920" s="12"/>
    </row>
    <row r="921">
      <c r="A921" s="59"/>
      <c r="B921" s="12"/>
      <c r="C921" s="12"/>
      <c r="D921" s="12"/>
    </row>
    <row r="922">
      <c r="A922" s="59"/>
      <c r="B922" s="12"/>
      <c r="C922" s="12"/>
      <c r="D922" s="12"/>
    </row>
    <row r="923">
      <c r="A923" s="59"/>
      <c r="B923" s="12"/>
      <c r="C923" s="12"/>
      <c r="D923" s="12"/>
    </row>
    <row r="924">
      <c r="A924" s="59"/>
      <c r="B924" s="12"/>
      <c r="C924" s="12"/>
      <c r="D924" s="12"/>
    </row>
    <row r="925">
      <c r="A925" s="59"/>
      <c r="B925" s="12"/>
      <c r="C925" s="12"/>
      <c r="D925" s="12"/>
    </row>
    <row r="926">
      <c r="A926" s="59"/>
      <c r="B926" s="12"/>
      <c r="C926" s="12"/>
      <c r="D926" s="12"/>
    </row>
    <row r="927">
      <c r="A927" s="59"/>
      <c r="B927" s="12"/>
      <c r="C927" s="12"/>
      <c r="D927" s="12"/>
    </row>
    <row r="928">
      <c r="A928" s="59"/>
      <c r="B928" s="12"/>
      <c r="C928" s="12"/>
      <c r="D928" s="12"/>
    </row>
    <row r="929">
      <c r="A929" s="59"/>
      <c r="B929" s="12"/>
      <c r="C929" s="12"/>
      <c r="D929" s="12"/>
    </row>
    <row r="930">
      <c r="A930" s="59"/>
      <c r="B930" s="12"/>
      <c r="C930" s="12"/>
      <c r="D930" s="12"/>
    </row>
    <row r="931">
      <c r="A931" s="59"/>
      <c r="B931" s="12"/>
      <c r="C931" s="12"/>
      <c r="D931" s="12"/>
    </row>
    <row r="932">
      <c r="A932" s="59"/>
      <c r="B932" s="12"/>
      <c r="C932" s="12"/>
      <c r="D932" s="12"/>
    </row>
    <row r="933">
      <c r="A933" s="59"/>
      <c r="B933" s="12"/>
      <c r="C933" s="12"/>
      <c r="D933" s="12"/>
    </row>
    <row r="934">
      <c r="A934" s="59"/>
      <c r="B934" s="12"/>
      <c r="C934" s="12"/>
      <c r="D934" s="12"/>
    </row>
    <row r="935">
      <c r="A935" s="59"/>
      <c r="B935" s="12"/>
      <c r="C935" s="12"/>
      <c r="D935" s="12"/>
    </row>
    <row r="936">
      <c r="A936" s="59"/>
      <c r="B936" s="12"/>
      <c r="C936" s="12"/>
      <c r="D936" s="12"/>
    </row>
    <row r="937">
      <c r="A937" s="59"/>
      <c r="B937" s="12"/>
      <c r="C937" s="12"/>
      <c r="D937" s="12"/>
    </row>
    <row r="938">
      <c r="A938" s="59"/>
      <c r="B938" s="12"/>
      <c r="C938" s="12"/>
      <c r="D938" s="12"/>
    </row>
    <row r="939">
      <c r="A939" s="59"/>
      <c r="B939" s="12"/>
      <c r="C939" s="12"/>
      <c r="D939" s="12"/>
    </row>
    <row r="940">
      <c r="A940" s="59"/>
      <c r="B940" s="12"/>
      <c r="C940" s="12"/>
      <c r="D940" s="12"/>
    </row>
    <row r="941">
      <c r="A941" s="59"/>
      <c r="B941" s="12"/>
      <c r="C941" s="12"/>
      <c r="D941" s="12"/>
    </row>
    <row r="942">
      <c r="A942" s="59"/>
      <c r="B942" s="12"/>
      <c r="C942" s="12"/>
      <c r="D942" s="12"/>
    </row>
    <row r="943">
      <c r="A943" s="59"/>
      <c r="B943" s="12"/>
      <c r="C943" s="12"/>
      <c r="D943" s="12"/>
    </row>
    <row r="944">
      <c r="A944" s="59"/>
      <c r="B944" s="12"/>
      <c r="C944" s="12"/>
      <c r="D944" s="12"/>
    </row>
    <row r="945">
      <c r="A945" s="59"/>
      <c r="B945" s="12"/>
      <c r="C945" s="12"/>
      <c r="D945" s="12"/>
    </row>
    <row r="946">
      <c r="A946" s="59"/>
      <c r="B946" s="12"/>
      <c r="C946" s="12"/>
      <c r="D946" s="12"/>
    </row>
    <row r="947">
      <c r="A947" s="59"/>
      <c r="B947" s="12"/>
      <c r="C947" s="12"/>
      <c r="D947" s="12"/>
    </row>
    <row r="948">
      <c r="A948" s="59"/>
      <c r="B948" s="12"/>
      <c r="C948" s="12"/>
      <c r="D948" s="12"/>
    </row>
    <row r="949">
      <c r="A949" s="59"/>
      <c r="B949" s="12"/>
      <c r="C949" s="12"/>
      <c r="D949" s="12"/>
    </row>
    <row r="950">
      <c r="A950" s="59"/>
      <c r="B950" s="12"/>
      <c r="C950" s="12"/>
      <c r="D950" s="12"/>
    </row>
    <row r="951">
      <c r="A951" s="59"/>
      <c r="B951" s="12"/>
      <c r="C951" s="12"/>
      <c r="D951" s="12"/>
    </row>
    <row r="952">
      <c r="A952" s="59"/>
      <c r="B952" s="12"/>
      <c r="C952" s="12"/>
      <c r="D952" s="12"/>
    </row>
    <row r="953">
      <c r="A953" s="59"/>
      <c r="B953" s="12"/>
      <c r="C953" s="12"/>
      <c r="D953" s="12"/>
    </row>
    <row r="954">
      <c r="A954" s="59"/>
      <c r="B954" s="12"/>
      <c r="C954" s="12"/>
      <c r="D954" s="12"/>
    </row>
    <row r="955">
      <c r="A955" s="59"/>
      <c r="B955" s="12"/>
      <c r="C955" s="12"/>
      <c r="D955" s="12"/>
    </row>
    <row r="956">
      <c r="A956" s="59"/>
      <c r="B956" s="12"/>
      <c r="C956" s="12"/>
      <c r="D956" s="12"/>
    </row>
    <row r="957">
      <c r="A957" s="59"/>
      <c r="B957" s="12"/>
      <c r="C957" s="12"/>
      <c r="D957" s="12"/>
    </row>
    <row r="958">
      <c r="A958" s="59"/>
      <c r="B958" s="12"/>
      <c r="C958" s="12"/>
      <c r="D958" s="12"/>
    </row>
    <row r="959">
      <c r="A959" s="59"/>
      <c r="B959" s="12"/>
      <c r="C959" s="12"/>
      <c r="D959" s="12"/>
    </row>
    <row r="960">
      <c r="A960" s="59"/>
      <c r="B960" s="12"/>
      <c r="C960" s="12"/>
      <c r="D960" s="12"/>
    </row>
    <row r="961">
      <c r="A961" s="59"/>
      <c r="B961" s="12"/>
      <c r="C961" s="12"/>
      <c r="D961" s="12"/>
    </row>
    <row r="962">
      <c r="A962" s="59"/>
      <c r="B962" s="12"/>
      <c r="C962" s="12"/>
      <c r="D962" s="12"/>
    </row>
    <row r="963">
      <c r="A963" s="59"/>
      <c r="B963" s="12"/>
      <c r="C963" s="12"/>
      <c r="D963" s="12"/>
    </row>
    <row r="964">
      <c r="A964" s="59"/>
      <c r="B964" s="12"/>
      <c r="C964" s="12"/>
      <c r="D964" s="12"/>
    </row>
    <row r="965">
      <c r="A965" s="59"/>
      <c r="B965" s="12"/>
      <c r="C965" s="12"/>
      <c r="D965" s="12"/>
    </row>
    <row r="966">
      <c r="A966" s="59"/>
      <c r="B966" s="12"/>
      <c r="C966" s="12"/>
      <c r="D966" s="12"/>
    </row>
    <row r="967">
      <c r="A967" s="59"/>
      <c r="B967" s="12"/>
      <c r="C967" s="12"/>
      <c r="D967" s="12"/>
    </row>
    <row r="968">
      <c r="A968" s="59"/>
      <c r="B968" s="12"/>
      <c r="C968" s="12"/>
      <c r="D968" s="12"/>
    </row>
    <row r="969">
      <c r="A969" s="59"/>
      <c r="B969" s="12"/>
      <c r="C969" s="12"/>
      <c r="D969" s="12"/>
    </row>
    <row r="970">
      <c r="A970" s="59"/>
      <c r="B970" s="12"/>
      <c r="C970" s="12"/>
      <c r="D970" s="12"/>
    </row>
    <row r="971">
      <c r="A971" s="59"/>
      <c r="B971" s="12"/>
      <c r="C971" s="12"/>
      <c r="D971" s="12"/>
    </row>
    <row r="972">
      <c r="A972" s="59"/>
      <c r="B972" s="12"/>
      <c r="C972" s="12"/>
      <c r="D972" s="12"/>
    </row>
    <row r="973">
      <c r="A973" s="59"/>
      <c r="B973" s="12"/>
      <c r="C973" s="12"/>
      <c r="D973" s="12"/>
    </row>
    <row r="974">
      <c r="A974" s="59"/>
      <c r="B974" s="12"/>
      <c r="C974" s="12"/>
      <c r="D974" s="12"/>
    </row>
    <row r="975">
      <c r="A975" s="59"/>
      <c r="B975" s="12"/>
      <c r="C975" s="12"/>
      <c r="D975" s="12"/>
    </row>
    <row r="976">
      <c r="A976" s="59"/>
      <c r="B976" s="12"/>
      <c r="C976" s="12"/>
      <c r="D976" s="12"/>
    </row>
    <row r="977">
      <c r="A977" s="59"/>
      <c r="B977" s="12"/>
      <c r="C977" s="12"/>
      <c r="D977" s="12"/>
    </row>
    <row r="978">
      <c r="A978" s="59"/>
      <c r="B978" s="12"/>
      <c r="C978" s="12"/>
      <c r="D978" s="12"/>
    </row>
    <row r="979">
      <c r="A979" s="59"/>
      <c r="B979" s="12"/>
      <c r="C979" s="12"/>
      <c r="D979" s="12"/>
    </row>
    <row r="980">
      <c r="A980" s="59"/>
      <c r="B980" s="12"/>
      <c r="C980" s="12"/>
      <c r="D980" s="12"/>
    </row>
    <row r="981">
      <c r="A981" s="59"/>
      <c r="B981" s="12"/>
      <c r="C981" s="12"/>
      <c r="D981" s="12"/>
    </row>
    <row r="982">
      <c r="A982" s="59"/>
      <c r="B982" s="12"/>
      <c r="C982" s="12"/>
      <c r="D982" s="12"/>
    </row>
    <row r="983">
      <c r="A983" s="59"/>
      <c r="B983" s="12"/>
      <c r="C983" s="12"/>
      <c r="D983" s="12"/>
    </row>
    <row r="984">
      <c r="A984" s="59"/>
      <c r="B984" s="12"/>
      <c r="C984" s="12"/>
      <c r="D984" s="12"/>
    </row>
    <row r="985">
      <c r="A985" s="59"/>
      <c r="B985" s="12"/>
      <c r="C985" s="12"/>
      <c r="D985" s="12"/>
    </row>
    <row r="986">
      <c r="A986" s="59"/>
      <c r="B986" s="12"/>
      <c r="C986" s="12"/>
      <c r="D986" s="12"/>
    </row>
    <row r="987">
      <c r="A987" s="59"/>
      <c r="B987" s="12"/>
      <c r="C987" s="12"/>
      <c r="D987" s="12"/>
    </row>
    <row r="988">
      <c r="A988" s="59"/>
      <c r="B988" s="12"/>
      <c r="C988" s="12"/>
      <c r="D988" s="12"/>
    </row>
    <row r="989">
      <c r="A989" s="59"/>
      <c r="B989" s="12"/>
      <c r="C989" s="12"/>
      <c r="D989" s="12"/>
    </row>
    <row r="990">
      <c r="A990" s="59"/>
      <c r="B990" s="12"/>
      <c r="C990" s="12"/>
      <c r="D990" s="12"/>
    </row>
    <row r="991">
      <c r="A991" s="59"/>
      <c r="B991" s="12"/>
      <c r="C991" s="12"/>
      <c r="D991" s="12"/>
    </row>
    <row r="992">
      <c r="A992" s="59"/>
      <c r="B992" s="12"/>
      <c r="C992" s="12"/>
      <c r="D992" s="12"/>
    </row>
    <row r="993">
      <c r="A993" s="59"/>
      <c r="B993" s="12"/>
      <c r="C993" s="12"/>
      <c r="D993" s="12"/>
    </row>
    <row r="994">
      <c r="A994" s="59"/>
      <c r="B994" s="12"/>
      <c r="C994" s="12"/>
      <c r="D994" s="12"/>
    </row>
    <row r="995">
      <c r="A995" s="59"/>
      <c r="B995" s="12"/>
      <c r="C995" s="12"/>
      <c r="D995" s="12"/>
    </row>
    <row r="996">
      <c r="A996" s="59"/>
      <c r="B996" s="12"/>
      <c r="C996" s="12"/>
      <c r="D996" s="12"/>
    </row>
    <row r="997">
      <c r="A997" s="59"/>
      <c r="B997" s="12"/>
      <c r="C997" s="12"/>
      <c r="D997" s="12"/>
    </row>
    <row r="998">
      <c r="A998" s="59"/>
      <c r="B998" s="12"/>
      <c r="C998" s="12"/>
      <c r="D998" s="12"/>
    </row>
    <row r="999">
      <c r="A999" s="59"/>
      <c r="B999" s="12"/>
      <c r="C999" s="12"/>
      <c r="D999" s="12"/>
    </row>
    <row r="1000">
      <c r="A1000" s="59"/>
      <c r="B1000" s="12"/>
      <c r="C1000" s="12"/>
      <c r="D1000" s="12"/>
    </row>
    <row r="1001">
      <c r="A1001" s="59"/>
      <c r="B1001" s="12"/>
      <c r="C1001" s="12"/>
      <c r="D1001" s="12"/>
    </row>
    <row r="1002">
      <c r="A1002" s="59"/>
      <c r="B1002" s="12"/>
      <c r="C1002" s="12"/>
      <c r="D1002" s="12"/>
    </row>
    <row r="1003">
      <c r="A1003" s="59"/>
      <c r="B1003" s="12"/>
      <c r="C1003" s="12"/>
      <c r="D1003" s="12"/>
    </row>
    <row r="1004">
      <c r="A1004" s="59"/>
      <c r="B1004" s="12"/>
      <c r="C1004" s="12"/>
      <c r="D1004" s="12"/>
    </row>
    <row r="1005">
      <c r="A1005" s="59"/>
      <c r="B1005" s="12"/>
      <c r="C1005" s="12"/>
      <c r="D1005" s="12"/>
    </row>
    <row r="1006">
      <c r="A1006" s="59"/>
      <c r="B1006" s="12"/>
      <c r="C1006" s="12"/>
      <c r="D1006" s="12"/>
    </row>
    <row r="1007">
      <c r="A1007" s="59"/>
      <c r="B1007" s="12"/>
      <c r="C1007" s="12"/>
      <c r="D1007" s="12"/>
    </row>
    <row r="1008">
      <c r="A1008" s="59"/>
      <c r="B1008" s="12"/>
      <c r="C1008" s="12"/>
      <c r="D1008" s="12"/>
    </row>
    <row r="1009">
      <c r="A1009" s="59"/>
      <c r="B1009" s="12"/>
      <c r="C1009" s="12"/>
      <c r="D1009" s="12"/>
    </row>
    <row r="1010">
      <c r="A1010" s="59"/>
      <c r="B1010" s="12"/>
      <c r="C1010" s="12"/>
      <c r="D1010" s="12"/>
    </row>
    <row r="1011">
      <c r="A1011" s="59"/>
      <c r="B1011" s="12"/>
      <c r="C1011" s="12"/>
      <c r="D1011" s="12"/>
    </row>
    <row r="1012">
      <c r="A1012" s="59"/>
      <c r="B1012" s="12"/>
      <c r="C1012" s="12"/>
      <c r="D1012" s="12"/>
    </row>
    <row r="1013">
      <c r="A1013" s="59"/>
      <c r="B1013" s="12"/>
      <c r="C1013" s="12"/>
      <c r="D1013" s="12"/>
    </row>
    <row r="1014">
      <c r="A1014" s="59"/>
      <c r="B1014" s="12"/>
      <c r="C1014" s="12"/>
      <c r="D1014" s="12"/>
    </row>
    <row r="1015">
      <c r="A1015" s="59"/>
      <c r="B1015" s="12"/>
      <c r="C1015" s="12"/>
      <c r="D1015" s="12"/>
    </row>
    <row r="1016">
      <c r="A1016" s="59"/>
      <c r="B1016" s="12"/>
      <c r="C1016" s="12"/>
      <c r="D1016" s="12"/>
    </row>
    <row r="1017">
      <c r="A1017" s="59"/>
      <c r="B1017" s="12"/>
      <c r="C1017" s="12"/>
      <c r="D1017" s="12"/>
    </row>
    <row r="1018">
      <c r="A1018" s="59"/>
      <c r="B1018" s="12"/>
      <c r="C1018" s="12"/>
      <c r="D1018" s="12"/>
    </row>
    <row r="1019">
      <c r="A1019" s="59"/>
      <c r="B1019" s="12"/>
      <c r="C1019" s="12"/>
      <c r="D1019" s="12"/>
    </row>
    <row r="1020">
      <c r="A1020" s="59"/>
      <c r="B1020" s="12"/>
      <c r="C1020" s="12"/>
      <c r="D1020" s="12"/>
    </row>
    <row r="1021">
      <c r="A1021" s="59"/>
      <c r="B1021" s="12"/>
      <c r="C1021" s="12"/>
      <c r="D1021" s="12"/>
    </row>
    <row r="1022">
      <c r="A1022" s="59"/>
      <c r="B1022" s="12"/>
      <c r="C1022" s="12"/>
      <c r="D1022" s="12"/>
    </row>
    <row r="1023">
      <c r="A1023" s="59"/>
      <c r="B1023" s="12"/>
      <c r="C1023" s="12"/>
      <c r="D1023" s="12"/>
    </row>
    <row r="1024">
      <c r="A1024" s="59"/>
      <c r="B1024" s="12"/>
      <c r="C1024" s="12"/>
      <c r="D1024" s="12"/>
    </row>
  </sheetData>
  <conditionalFormatting sqref="A41:A52">
    <cfRule type="notContainsBlanks" dxfId="0" priority="1">
      <formula>LEN(TRIM(A41))&gt;0</formula>
    </cfRule>
  </conditionalFormatting>
  <conditionalFormatting sqref="A4:A1024">
    <cfRule type="notContainsBlanks" dxfId="0" priority="2">
      <formula>LEN(TRIM(A4))&gt;0</formula>
    </cfRule>
  </conditionalFormatting>
  <hyperlinks>
    <hyperlink r:id="rId4" ref="B18"/>
    <hyperlink r:id="rId5" ref="C34"/>
  </hyperlinks>
  <printOptions gridLines="1" horizontalCentered="1"/>
  <pageMargins bottom="0.75" footer="0.0" header="0.0" left="0.7" right="0.7" top="0.75"/>
  <pageSetup fitToHeight="0" cellComments="atEnd" orientation="landscape" pageOrder="overThenDown"/>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2" max="2" width="29.38"/>
    <col customWidth="1" min="3" max="3" width="24.0"/>
    <col customWidth="1" min="4" max="4" width="17.38"/>
    <col customWidth="1" min="5" max="5" width="16.0"/>
    <col customWidth="1" min="6" max="6" width="21.75"/>
    <col customWidth="1" min="7" max="7" width="15.75"/>
  </cols>
  <sheetData>
    <row r="1" ht="22.5" customHeight="1">
      <c r="A1" s="63" t="s">
        <v>116</v>
      </c>
      <c r="B1" s="64" t="s">
        <v>117</v>
      </c>
      <c r="C1" s="65" t="s">
        <v>118</v>
      </c>
      <c r="D1" s="65" t="s">
        <v>1</v>
      </c>
      <c r="F1" s="66"/>
    </row>
    <row r="2" ht="22.5" customHeight="1">
      <c r="A2" s="67" t="s">
        <v>119</v>
      </c>
      <c r="B2" s="68">
        <v>0.0</v>
      </c>
      <c r="C2" s="69">
        <v>46043.834641203706</v>
      </c>
      <c r="D2" s="70" t="s">
        <v>120</v>
      </c>
      <c r="F2" s="71"/>
    </row>
    <row r="3" ht="22.5" customHeight="1">
      <c r="A3" s="67" t="s">
        <v>121</v>
      </c>
      <c r="B3" s="72">
        <v>0.0</v>
      </c>
      <c r="C3" s="69">
        <v>45199.53314814815</v>
      </c>
      <c r="D3" s="70" t="s">
        <v>122</v>
      </c>
      <c r="F3" s="71"/>
    </row>
    <row r="4" ht="22.5" customHeight="1">
      <c r="A4" s="67" t="s">
        <v>123</v>
      </c>
      <c r="B4" s="72">
        <v>0.0</v>
      </c>
      <c r="C4" s="69">
        <v>45963.069189814814</v>
      </c>
      <c r="D4" s="70" t="s">
        <v>122</v>
      </c>
      <c r="F4" s="71"/>
    </row>
    <row r="5" ht="22.5" customHeight="1">
      <c r="A5" s="73" t="s">
        <v>124</v>
      </c>
      <c r="B5" s="74">
        <v>382.4</v>
      </c>
      <c r="C5" s="75">
        <v>46043.82971064815</v>
      </c>
      <c r="D5" s="70" t="s">
        <v>120</v>
      </c>
      <c r="F5" s="71"/>
    </row>
    <row r="6" ht="22.5" customHeight="1">
      <c r="A6" s="73" t="s">
        <v>125</v>
      </c>
      <c r="B6" s="76">
        <v>1114.16</v>
      </c>
      <c r="C6" s="75">
        <v>46013.718981481485</v>
      </c>
      <c r="D6" s="70" t="s">
        <v>122</v>
      </c>
      <c r="F6" s="71"/>
    </row>
    <row r="7" ht="22.5" customHeight="1">
      <c r="A7" s="73" t="s">
        <v>126</v>
      </c>
      <c r="B7" s="74">
        <v>1672.0</v>
      </c>
      <c r="C7" s="75">
        <v>46013.72974537037</v>
      </c>
      <c r="D7" s="70" t="s">
        <v>120</v>
      </c>
      <c r="F7" s="71"/>
    </row>
    <row r="8" ht="22.5" customHeight="1">
      <c r="A8" s="73" t="s">
        <v>127</v>
      </c>
      <c r="B8" s="74">
        <v>1433.87</v>
      </c>
      <c r="C8" s="75">
        <v>46013.72175925926</v>
      </c>
      <c r="D8" s="70" t="s">
        <v>122</v>
      </c>
      <c r="F8" s="71"/>
    </row>
    <row r="9" ht="22.5" customHeight="1">
      <c r="A9" s="73" t="s">
        <v>128</v>
      </c>
      <c r="B9" s="76">
        <v>2047.89</v>
      </c>
      <c r="C9" s="75">
        <v>46013.72204861111</v>
      </c>
      <c r="D9" s="70" t="s">
        <v>122</v>
      </c>
      <c r="F9" s="71"/>
    </row>
    <row r="10" ht="22.5" customHeight="1">
      <c r="A10" s="73" t="s">
        <v>129</v>
      </c>
      <c r="B10" s="74">
        <v>3297.44</v>
      </c>
      <c r="C10" s="75">
        <v>46043.83232638889</v>
      </c>
      <c r="D10" s="70" t="s">
        <v>120</v>
      </c>
      <c r="F10" s="71"/>
    </row>
    <row r="11" ht="22.5" customHeight="1">
      <c r="A11" s="73" t="s">
        <v>130</v>
      </c>
      <c r="B11" s="74">
        <v>5042.75</v>
      </c>
      <c r="C11" s="75">
        <v>46043.83016203704</v>
      </c>
      <c r="D11" s="70" t="s">
        <v>122</v>
      </c>
      <c r="F11" s="71"/>
    </row>
    <row r="12" ht="22.5" customHeight="1">
      <c r="A12" s="73" t="s">
        <v>131</v>
      </c>
      <c r="B12" s="74">
        <v>4987.88</v>
      </c>
      <c r="C12" s="75">
        <v>46013.721550925926</v>
      </c>
      <c r="D12" s="70" t="s">
        <v>132</v>
      </c>
      <c r="F12" s="66"/>
    </row>
    <row r="13" ht="22.5" customHeight="1">
      <c r="A13" s="73" t="s">
        <v>133</v>
      </c>
      <c r="B13" s="74">
        <v>6073.1</v>
      </c>
      <c r="C13" s="75">
        <v>46013.722453703704</v>
      </c>
      <c r="D13" s="70" t="s">
        <v>122</v>
      </c>
      <c r="F13" s="66"/>
    </row>
    <row r="14" ht="22.5" customHeight="1">
      <c r="A14" s="73" t="s">
        <v>134</v>
      </c>
      <c r="B14" s="74">
        <v>7100.0</v>
      </c>
      <c r="C14" s="75">
        <v>46013.72356481481</v>
      </c>
      <c r="D14" s="70" t="s">
        <v>122</v>
      </c>
      <c r="F14" s="66"/>
    </row>
    <row r="15" ht="22.5" customHeight="1">
      <c r="A15" s="77" t="s">
        <v>135</v>
      </c>
      <c r="B15" s="74">
        <v>15512.01</v>
      </c>
      <c r="C15" s="75">
        <v>46043.83181712963</v>
      </c>
      <c r="D15" s="70" t="s">
        <v>132</v>
      </c>
      <c r="F15" s="66"/>
    </row>
    <row r="16" ht="22.5" customHeight="1">
      <c r="A16" s="73" t="s">
        <v>136</v>
      </c>
      <c r="B16" s="74">
        <v>19316.58</v>
      </c>
      <c r="C16" s="75">
        <v>46013.72305555556</v>
      </c>
      <c r="D16" s="70" t="s">
        <v>122</v>
      </c>
      <c r="F16" s="66"/>
    </row>
    <row r="17" ht="22.5" customHeight="1">
      <c r="A17" s="73" t="s">
        <v>136</v>
      </c>
      <c r="B17" s="74">
        <v>19591.9</v>
      </c>
      <c r="C17" s="78">
        <v>46013.72314814815</v>
      </c>
      <c r="D17" s="70" t="s">
        <v>122</v>
      </c>
      <c r="F17" s="66"/>
    </row>
    <row r="18" ht="22.5" customHeight="1">
      <c r="A18" s="73" t="s">
        <v>137</v>
      </c>
      <c r="B18" s="76">
        <v>21401.48</v>
      </c>
      <c r="C18" s="75">
        <v>46043.830613425926</v>
      </c>
      <c r="D18" s="70" t="s">
        <v>122</v>
      </c>
      <c r="F18" s="66"/>
    </row>
    <row r="19" ht="22.5" customHeight="1">
      <c r="A19" s="79" t="s">
        <v>138</v>
      </c>
      <c r="B19" s="80"/>
      <c r="C19" s="81"/>
      <c r="D19" s="82"/>
      <c r="F19" s="66"/>
    </row>
    <row r="20" ht="22.5" customHeight="1">
      <c r="A20" s="83" t="str">
        <f>DOLLAR(SUM(B2:B18))</f>
        <v>$108,973.46</v>
      </c>
      <c r="B20" s="80"/>
      <c r="C20" s="81"/>
      <c r="D20" s="82"/>
      <c r="F20" s="66"/>
    </row>
    <row r="21">
      <c r="A21" s="84"/>
      <c r="B21" s="85"/>
      <c r="C21" s="86"/>
      <c r="F21" s="66"/>
    </row>
    <row r="22">
      <c r="A22" s="84"/>
      <c r="B22" s="85"/>
      <c r="C22" s="86"/>
      <c r="F22" s="66"/>
    </row>
    <row r="23">
      <c r="A23" s="84"/>
      <c r="B23" s="85"/>
      <c r="C23" s="86"/>
      <c r="F23" s="66"/>
    </row>
    <row r="24">
      <c r="A24" s="84"/>
      <c r="B24" s="85"/>
      <c r="C24" s="86"/>
      <c r="F24" s="66"/>
    </row>
    <row r="25">
      <c r="A25" s="84"/>
      <c r="B25" s="85"/>
      <c r="C25" s="86"/>
      <c r="F25" s="66"/>
    </row>
    <row r="26">
      <c r="A26" s="84"/>
      <c r="B26" s="85"/>
      <c r="C26" s="86"/>
      <c r="F26" s="66"/>
    </row>
    <row r="27">
      <c r="A27" s="84"/>
      <c r="B27" s="85"/>
      <c r="C27" s="86"/>
      <c r="F27" s="66"/>
    </row>
    <row r="28">
      <c r="A28" s="84"/>
      <c r="B28" s="85"/>
      <c r="C28" s="86"/>
      <c r="F28" s="66"/>
    </row>
    <row r="29">
      <c r="A29" s="84"/>
      <c r="B29" s="85"/>
      <c r="C29" s="86"/>
      <c r="F29" s="66"/>
    </row>
    <row r="30">
      <c r="A30" s="84"/>
      <c r="B30" s="85"/>
      <c r="C30" s="86"/>
      <c r="F30" s="66"/>
    </row>
    <row r="31">
      <c r="A31" s="84"/>
      <c r="B31" s="85"/>
      <c r="C31" s="86"/>
      <c r="F31" s="66"/>
    </row>
    <row r="32">
      <c r="A32" s="84"/>
      <c r="B32" s="85"/>
      <c r="C32" s="86"/>
      <c r="F32" s="66"/>
    </row>
    <row r="33">
      <c r="A33" s="84"/>
      <c r="B33" s="85"/>
      <c r="C33" s="86"/>
      <c r="F33" s="66"/>
    </row>
    <row r="34">
      <c r="A34" s="84"/>
      <c r="B34" s="85"/>
      <c r="C34" s="86"/>
      <c r="F34" s="66"/>
    </row>
    <row r="35">
      <c r="A35" s="84"/>
      <c r="B35" s="85"/>
      <c r="C35" s="86"/>
      <c r="F35" s="66"/>
    </row>
    <row r="36">
      <c r="A36" s="84"/>
      <c r="B36" s="85"/>
      <c r="C36" s="86"/>
      <c r="F36" s="66"/>
    </row>
    <row r="37">
      <c r="A37" s="84"/>
      <c r="B37" s="85"/>
      <c r="C37" s="86"/>
      <c r="F37" s="66"/>
    </row>
    <row r="38">
      <c r="A38" s="84"/>
      <c r="B38" s="85"/>
      <c r="C38" s="86"/>
      <c r="F38" s="66"/>
    </row>
    <row r="39">
      <c r="A39" s="84"/>
      <c r="B39" s="85"/>
      <c r="C39" s="86"/>
      <c r="F39" s="66"/>
    </row>
    <row r="40">
      <c r="A40" s="84"/>
      <c r="B40" s="85"/>
      <c r="C40" s="86"/>
      <c r="F40" s="66"/>
    </row>
    <row r="41">
      <c r="A41" s="84"/>
      <c r="B41" s="85"/>
      <c r="C41" s="86"/>
      <c r="F41" s="66"/>
    </row>
    <row r="42">
      <c r="A42" s="84"/>
      <c r="B42" s="85"/>
      <c r="C42" s="86"/>
      <c r="F42" s="66"/>
    </row>
    <row r="43">
      <c r="A43" s="84"/>
      <c r="B43" s="85"/>
      <c r="C43" s="86"/>
      <c r="F43" s="66"/>
    </row>
    <row r="44">
      <c r="A44" s="84"/>
      <c r="B44" s="85"/>
      <c r="C44" s="86"/>
      <c r="F44" s="66"/>
    </row>
    <row r="45">
      <c r="A45" s="84"/>
      <c r="B45" s="85"/>
      <c r="C45" s="86"/>
      <c r="F45" s="66"/>
    </row>
    <row r="46">
      <c r="A46" s="84"/>
      <c r="B46" s="85"/>
      <c r="C46" s="86"/>
      <c r="F46" s="66"/>
    </row>
    <row r="47">
      <c r="A47" s="84"/>
      <c r="B47" s="85"/>
      <c r="C47" s="86"/>
      <c r="F47" s="66"/>
    </row>
    <row r="48">
      <c r="A48" s="84"/>
      <c r="B48" s="85"/>
      <c r="C48" s="86"/>
      <c r="F48" s="66"/>
    </row>
    <row r="49">
      <c r="A49" s="84"/>
      <c r="B49" s="85"/>
      <c r="C49" s="86"/>
      <c r="F49" s="66"/>
    </row>
    <row r="50">
      <c r="A50" s="84"/>
      <c r="B50" s="85"/>
      <c r="C50" s="86"/>
      <c r="F50" s="66"/>
    </row>
    <row r="51">
      <c r="A51" s="84"/>
      <c r="B51" s="85"/>
      <c r="C51" s="86"/>
      <c r="F51" s="66"/>
    </row>
    <row r="52">
      <c r="A52" s="84"/>
      <c r="B52" s="85"/>
      <c r="C52" s="86"/>
      <c r="F52" s="66"/>
    </row>
    <row r="53">
      <c r="A53" s="84"/>
      <c r="B53" s="85"/>
      <c r="C53" s="86"/>
      <c r="F53" s="66"/>
    </row>
    <row r="54">
      <c r="A54" s="84"/>
      <c r="B54" s="85"/>
      <c r="C54" s="86"/>
      <c r="F54" s="66"/>
    </row>
    <row r="55">
      <c r="A55" s="84"/>
      <c r="B55" s="85"/>
      <c r="C55" s="86"/>
      <c r="F55" s="66"/>
    </row>
    <row r="56">
      <c r="A56" s="84"/>
      <c r="B56" s="85"/>
      <c r="C56" s="86"/>
      <c r="F56" s="66"/>
    </row>
    <row r="57">
      <c r="A57" s="84"/>
      <c r="B57" s="85"/>
      <c r="C57" s="86"/>
      <c r="F57" s="66"/>
    </row>
    <row r="58">
      <c r="A58" s="84"/>
      <c r="B58" s="85"/>
      <c r="C58" s="86"/>
      <c r="F58" s="66"/>
    </row>
    <row r="59">
      <c r="A59" s="84"/>
      <c r="B59" s="85"/>
      <c r="C59" s="86"/>
      <c r="F59" s="66"/>
    </row>
    <row r="60">
      <c r="A60" s="84"/>
      <c r="B60" s="85"/>
      <c r="C60" s="86"/>
      <c r="F60" s="66"/>
    </row>
    <row r="61">
      <c r="A61" s="84"/>
      <c r="B61" s="85"/>
      <c r="C61" s="86"/>
      <c r="F61" s="66"/>
    </row>
    <row r="62">
      <c r="A62" s="84"/>
      <c r="B62" s="85"/>
      <c r="C62" s="86"/>
      <c r="F62" s="66"/>
    </row>
    <row r="63">
      <c r="A63" s="84"/>
      <c r="B63" s="85"/>
      <c r="C63" s="86"/>
      <c r="F63" s="66"/>
    </row>
    <row r="64">
      <c r="A64" s="84"/>
      <c r="B64" s="85"/>
      <c r="C64" s="86"/>
      <c r="F64" s="66"/>
    </row>
    <row r="65">
      <c r="A65" s="84"/>
      <c r="B65" s="85"/>
      <c r="C65" s="86"/>
      <c r="F65" s="66"/>
    </row>
    <row r="66">
      <c r="A66" s="84"/>
      <c r="B66" s="85"/>
      <c r="C66" s="86"/>
      <c r="F66" s="66"/>
    </row>
    <row r="67">
      <c r="A67" s="84"/>
      <c r="B67" s="85"/>
      <c r="C67" s="86"/>
      <c r="F67" s="66"/>
    </row>
    <row r="68">
      <c r="A68" s="84"/>
      <c r="B68" s="85"/>
      <c r="C68" s="86"/>
      <c r="F68" s="66"/>
    </row>
    <row r="69">
      <c r="A69" s="84"/>
      <c r="B69" s="85"/>
      <c r="C69" s="86"/>
      <c r="F69" s="66"/>
    </row>
    <row r="70">
      <c r="A70" s="84"/>
      <c r="B70" s="85"/>
      <c r="C70" s="86"/>
      <c r="F70" s="66"/>
    </row>
    <row r="71">
      <c r="A71" s="84"/>
      <c r="B71" s="85"/>
      <c r="C71" s="86"/>
      <c r="F71" s="66"/>
    </row>
    <row r="72">
      <c r="A72" s="84"/>
      <c r="B72" s="85"/>
      <c r="C72" s="86"/>
      <c r="F72" s="66"/>
    </row>
    <row r="73">
      <c r="A73" s="84"/>
      <c r="B73" s="85"/>
      <c r="C73" s="86"/>
      <c r="F73" s="66"/>
    </row>
    <row r="74">
      <c r="A74" s="84"/>
      <c r="B74" s="85"/>
      <c r="C74" s="86"/>
      <c r="F74" s="66"/>
    </row>
    <row r="75">
      <c r="A75" s="84"/>
      <c r="B75" s="85"/>
      <c r="C75" s="86"/>
      <c r="F75" s="66"/>
    </row>
    <row r="76">
      <c r="A76" s="84"/>
      <c r="B76" s="85"/>
      <c r="C76" s="86"/>
      <c r="F76" s="66"/>
    </row>
    <row r="77">
      <c r="A77" s="84"/>
      <c r="B77" s="85"/>
      <c r="C77" s="86"/>
      <c r="F77" s="66"/>
    </row>
    <row r="78">
      <c r="A78" s="84"/>
      <c r="B78" s="85"/>
      <c r="C78" s="86"/>
      <c r="F78" s="66"/>
    </row>
    <row r="79">
      <c r="A79" s="84"/>
      <c r="B79" s="85"/>
      <c r="C79" s="86"/>
      <c r="F79" s="66"/>
    </row>
    <row r="80">
      <c r="A80" s="84"/>
      <c r="B80" s="85"/>
      <c r="C80" s="86"/>
      <c r="F80" s="66"/>
    </row>
    <row r="81">
      <c r="A81" s="84"/>
      <c r="B81" s="85"/>
      <c r="C81" s="86"/>
      <c r="F81" s="66"/>
    </row>
    <row r="82">
      <c r="A82" s="84"/>
      <c r="B82" s="85"/>
      <c r="C82" s="86"/>
      <c r="F82" s="66"/>
    </row>
    <row r="83">
      <c r="A83" s="84"/>
      <c r="B83" s="85"/>
      <c r="C83" s="86"/>
      <c r="F83" s="66"/>
    </row>
    <row r="84">
      <c r="A84" s="84"/>
      <c r="B84" s="85"/>
      <c r="C84" s="86"/>
      <c r="F84" s="66"/>
    </row>
    <row r="85">
      <c r="A85" s="84"/>
      <c r="B85" s="85"/>
      <c r="C85" s="86"/>
      <c r="F85" s="66"/>
    </row>
    <row r="86">
      <c r="A86" s="84"/>
      <c r="B86" s="85"/>
      <c r="C86" s="86"/>
      <c r="F86" s="66"/>
    </row>
    <row r="87">
      <c r="A87" s="84"/>
      <c r="B87" s="85"/>
      <c r="C87" s="86"/>
      <c r="F87" s="66"/>
    </row>
    <row r="88">
      <c r="A88" s="84"/>
      <c r="B88" s="85"/>
      <c r="C88" s="86"/>
      <c r="F88" s="66"/>
    </row>
    <row r="89">
      <c r="A89" s="84"/>
      <c r="B89" s="85"/>
      <c r="C89" s="86"/>
      <c r="F89" s="66"/>
    </row>
    <row r="90">
      <c r="A90" s="84"/>
      <c r="B90" s="85"/>
      <c r="C90" s="86"/>
      <c r="F90" s="66"/>
    </row>
    <row r="91">
      <c r="A91" s="84"/>
      <c r="B91" s="85"/>
      <c r="C91" s="86"/>
      <c r="F91" s="66"/>
    </row>
    <row r="92">
      <c r="A92" s="84"/>
      <c r="B92" s="85"/>
      <c r="C92" s="86"/>
      <c r="F92" s="66"/>
    </row>
    <row r="93">
      <c r="A93" s="84"/>
      <c r="B93" s="85"/>
      <c r="C93" s="86"/>
      <c r="F93" s="66"/>
    </row>
    <row r="94">
      <c r="A94" s="84"/>
      <c r="B94" s="85"/>
      <c r="C94" s="86"/>
      <c r="F94" s="66"/>
    </row>
    <row r="95">
      <c r="A95" s="84"/>
      <c r="B95" s="85"/>
      <c r="C95" s="86"/>
      <c r="F95" s="66"/>
    </row>
    <row r="96">
      <c r="A96" s="84"/>
      <c r="B96" s="85"/>
      <c r="C96" s="86"/>
      <c r="F96" s="66"/>
    </row>
    <row r="97">
      <c r="A97" s="84"/>
      <c r="B97" s="85"/>
      <c r="C97" s="86"/>
      <c r="F97" s="66"/>
    </row>
    <row r="98">
      <c r="A98" s="84"/>
      <c r="B98" s="85"/>
      <c r="C98" s="86"/>
      <c r="F98" s="66"/>
    </row>
    <row r="99">
      <c r="A99" s="84"/>
      <c r="B99" s="85"/>
      <c r="C99" s="86"/>
      <c r="F99" s="66"/>
    </row>
    <row r="100">
      <c r="A100" s="84"/>
      <c r="B100" s="85"/>
      <c r="C100" s="86"/>
      <c r="F100" s="66"/>
    </row>
    <row r="101">
      <c r="A101" s="84"/>
      <c r="B101" s="85"/>
      <c r="C101" s="86"/>
      <c r="F101" s="66"/>
    </row>
    <row r="102">
      <c r="A102" s="84"/>
      <c r="B102" s="85"/>
      <c r="C102" s="86"/>
      <c r="F102" s="66"/>
    </row>
    <row r="103">
      <c r="A103" s="84"/>
      <c r="B103" s="85"/>
      <c r="C103" s="86"/>
      <c r="F103" s="66"/>
    </row>
    <row r="104">
      <c r="A104" s="84"/>
      <c r="B104" s="85"/>
      <c r="C104" s="86"/>
      <c r="F104" s="66"/>
    </row>
    <row r="105">
      <c r="A105" s="84"/>
      <c r="B105" s="85"/>
      <c r="C105" s="86"/>
      <c r="F105" s="66"/>
    </row>
    <row r="106">
      <c r="A106" s="84"/>
      <c r="B106" s="85"/>
      <c r="C106" s="86"/>
      <c r="F106" s="66"/>
    </row>
    <row r="107">
      <c r="A107" s="84"/>
      <c r="B107" s="85"/>
      <c r="C107" s="86"/>
      <c r="F107" s="66"/>
    </row>
    <row r="108">
      <c r="A108" s="84"/>
      <c r="B108" s="85"/>
      <c r="C108" s="86"/>
      <c r="F108" s="66"/>
    </row>
    <row r="109">
      <c r="A109" s="84"/>
      <c r="B109" s="85"/>
      <c r="C109" s="86"/>
      <c r="F109" s="66"/>
    </row>
    <row r="110">
      <c r="A110" s="84"/>
      <c r="B110" s="85"/>
      <c r="C110" s="86"/>
      <c r="F110" s="66"/>
    </row>
    <row r="111">
      <c r="A111" s="84"/>
      <c r="B111" s="85"/>
      <c r="C111" s="86"/>
      <c r="F111" s="66"/>
    </row>
    <row r="112">
      <c r="A112" s="84"/>
      <c r="B112" s="85"/>
      <c r="C112" s="86"/>
      <c r="F112" s="66"/>
    </row>
    <row r="113">
      <c r="A113" s="84"/>
      <c r="B113" s="85"/>
      <c r="C113" s="86"/>
      <c r="F113" s="66"/>
    </row>
    <row r="114">
      <c r="A114" s="84"/>
      <c r="B114" s="85"/>
      <c r="C114" s="86"/>
      <c r="F114" s="66"/>
    </row>
    <row r="115">
      <c r="A115" s="84"/>
      <c r="B115" s="85"/>
      <c r="C115" s="86"/>
      <c r="F115" s="66"/>
    </row>
    <row r="116">
      <c r="A116" s="84"/>
      <c r="B116" s="85"/>
      <c r="C116" s="86"/>
      <c r="F116" s="66"/>
    </row>
    <row r="117">
      <c r="A117" s="84"/>
      <c r="B117" s="85"/>
      <c r="C117" s="86"/>
      <c r="F117" s="66"/>
    </row>
    <row r="118">
      <c r="A118" s="84"/>
      <c r="B118" s="85"/>
      <c r="C118" s="86"/>
      <c r="F118" s="66"/>
    </row>
    <row r="119">
      <c r="A119" s="84"/>
      <c r="B119" s="85"/>
      <c r="C119" s="86"/>
      <c r="F119" s="66"/>
    </row>
    <row r="120">
      <c r="A120" s="84"/>
      <c r="B120" s="85"/>
      <c r="C120" s="86"/>
      <c r="F120" s="66"/>
    </row>
    <row r="121">
      <c r="A121" s="84"/>
      <c r="B121" s="85"/>
      <c r="C121" s="86"/>
      <c r="F121" s="66"/>
    </row>
    <row r="122">
      <c r="A122" s="84"/>
      <c r="B122" s="85"/>
      <c r="C122" s="86"/>
      <c r="F122" s="66"/>
    </row>
    <row r="123">
      <c r="A123" s="84"/>
      <c r="B123" s="85"/>
      <c r="C123" s="86"/>
      <c r="F123" s="66"/>
    </row>
    <row r="124">
      <c r="A124" s="84"/>
      <c r="B124" s="85"/>
      <c r="C124" s="86"/>
      <c r="F124" s="66"/>
    </row>
    <row r="125">
      <c r="A125" s="84"/>
      <c r="B125" s="85"/>
      <c r="C125" s="86"/>
      <c r="F125" s="66"/>
    </row>
    <row r="126">
      <c r="A126" s="84"/>
      <c r="B126" s="85"/>
      <c r="C126" s="86"/>
      <c r="F126" s="66"/>
    </row>
    <row r="127">
      <c r="A127" s="84"/>
      <c r="B127" s="85"/>
      <c r="C127" s="86"/>
      <c r="F127" s="66"/>
    </row>
    <row r="128">
      <c r="A128" s="84"/>
      <c r="B128" s="85"/>
      <c r="C128" s="86"/>
      <c r="F128" s="66"/>
    </row>
    <row r="129">
      <c r="A129" s="84"/>
      <c r="B129" s="85"/>
      <c r="C129" s="86"/>
      <c r="F129" s="66"/>
    </row>
    <row r="130">
      <c r="A130" s="84"/>
      <c r="B130" s="85"/>
      <c r="C130" s="86"/>
      <c r="F130" s="66"/>
    </row>
    <row r="131">
      <c r="A131" s="84"/>
      <c r="B131" s="85"/>
      <c r="C131" s="86"/>
      <c r="F131" s="66"/>
    </row>
    <row r="132">
      <c r="A132" s="84"/>
      <c r="B132" s="85"/>
      <c r="C132" s="86"/>
      <c r="F132" s="66"/>
    </row>
    <row r="133">
      <c r="A133" s="84"/>
      <c r="B133" s="85"/>
      <c r="C133" s="86"/>
      <c r="F133" s="66"/>
    </row>
    <row r="134">
      <c r="A134" s="84"/>
      <c r="B134" s="85"/>
      <c r="C134" s="86"/>
      <c r="F134" s="66"/>
    </row>
    <row r="135">
      <c r="A135" s="84"/>
      <c r="B135" s="85"/>
      <c r="C135" s="86"/>
      <c r="F135" s="66"/>
    </row>
    <row r="136">
      <c r="A136" s="84"/>
      <c r="B136" s="85"/>
      <c r="C136" s="86"/>
      <c r="F136" s="66"/>
    </row>
    <row r="137">
      <c r="A137" s="84"/>
      <c r="B137" s="85"/>
      <c r="C137" s="86"/>
      <c r="F137" s="66"/>
    </row>
    <row r="138">
      <c r="A138" s="84"/>
      <c r="B138" s="85"/>
      <c r="C138" s="86"/>
      <c r="F138" s="66"/>
    </row>
    <row r="139">
      <c r="A139" s="84"/>
      <c r="B139" s="85"/>
      <c r="C139" s="86"/>
      <c r="F139" s="66"/>
    </row>
    <row r="140">
      <c r="A140" s="84"/>
      <c r="B140" s="85"/>
      <c r="C140" s="86"/>
      <c r="F140" s="66"/>
    </row>
    <row r="141">
      <c r="A141" s="84"/>
      <c r="B141" s="85"/>
      <c r="C141" s="86"/>
      <c r="F141" s="66"/>
    </row>
    <row r="142">
      <c r="A142" s="84"/>
      <c r="B142" s="85"/>
      <c r="C142" s="86"/>
      <c r="F142" s="66"/>
    </row>
    <row r="143">
      <c r="A143" s="84"/>
      <c r="B143" s="85"/>
      <c r="C143" s="86"/>
      <c r="F143" s="66"/>
    </row>
    <row r="144">
      <c r="A144" s="84"/>
      <c r="B144" s="85"/>
      <c r="C144" s="86"/>
      <c r="F144" s="66"/>
    </row>
    <row r="145">
      <c r="A145" s="84"/>
      <c r="B145" s="85"/>
      <c r="C145" s="86"/>
      <c r="F145" s="66"/>
    </row>
    <row r="146">
      <c r="A146" s="84"/>
      <c r="B146" s="85"/>
      <c r="C146" s="86"/>
      <c r="F146" s="66"/>
    </row>
    <row r="147">
      <c r="A147" s="84"/>
      <c r="B147" s="85"/>
      <c r="C147" s="86"/>
      <c r="F147" s="66"/>
    </row>
    <row r="148">
      <c r="A148" s="84"/>
      <c r="B148" s="85"/>
      <c r="C148" s="86"/>
      <c r="F148" s="66"/>
    </row>
    <row r="149">
      <c r="A149" s="84"/>
      <c r="B149" s="85"/>
      <c r="C149" s="86"/>
      <c r="F149" s="66"/>
    </row>
    <row r="150">
      <c r="A150" s="84"/>
      <c r="B150" s="85"/>
      <c r="C150" s="86"/>
      <c r="F150" s="66"/>
    </row>
    <row r="151">
      <c r="A151" s="84"/>
      <c r="B151" s="85"/>
      <c r="C151" s="86"/>
      <c r="F151" s="66"/>
    </row>
    <row r="152">
      <c r="A152" s="84"/>
      <c r="B152" s="85"/>
      <c r="C152" s="86"/>
      <c r="F152" s="66"/>
    </row>
    <row r="153">
      <c r="A153" s="84"/>
      <c r="B153" s="85"/>
      <c r="C153" s="86"/>
      <c r="F153" s="66"/>
    </row>
    <row r="154">
      <c r="A154" s="84"/>
      <c r="B154" s="85"/>
      <c r="C154" s="86"/>
      <c r="F154" s="66"/>
    </row>
    <row r="155">
      <c r="A155" s="84"/>
      <c r="B155" s="85"/>
      <c r="C155" s="86"/>
      <c r="F155" s="66"/>
    </row>
    <row r="156">
      <c r="A156" s="84"/>
      <c r="B156" s="85"/>
      <c r="C156" s="86"/>
      <c r="F156" s="66"/>
    </row>
    <row r="157">
      <c r="A157" s="84"/>
      <c r="B157" s="85"/>
      <c r="C157" s="86"/>
      <c r="F157" s="66"/>
    </row>
    <row r="158">
      <c r="A158" s="84"/>
      <c r="B158" s="85"/>
      <c r="C158" s="86"/>
      <c r="F158" s="66"/>
    </row>
    <row r="159">
      <c r="A159" s="84"/>
      <c r="B159" s="85"/>
      <c r="C159" s="86"/>
      <c r="F159" s="66"/>
    </row>
    <row r="160">
      <c r="A160" s="84"/>
      <c r="B160" s="85"/>
      <c r="C160" s="86"/>
      <c r="F160" s="66"/>
    </row>
    <row r="161">
      <c r="A161" s="84"/>
      <c r="B161" s="85"/>
      <c r="C161" s="86"/>
      <c r="F161" s="66"/>
    </row>
    <row r="162">
      <c r="A162" s="84"/>
      <c r="B162" s="85"/>
      <c r="C162" s="86"/>
      <c r="F162" s="66"/>
    </row>
    <row r="163">
      <c r="A163" s="84"/>
      <c r="B163" s="85"/>
      <c r="C163" s="86"/>
      <c r="F163" s="66"/>
    </row>
    <row r="164">
      <c r="A164" s="84"/>
      <c r="B164" s="85"/>
      <c r="C164" s="86"/>
      <c r="F164" s="66"/>
    </row>
    <row r="165">
      <c r="A165" s="84"/>
      <c r="B165" s="85"/>
      <c r="C165" s="86"/>
      <c r="F165" s="66"/>
    </row>
    <row r="166">
      <c r="A166" s="84"/>
      <c r="B166" s="85"/>
      <c r="C166" s="86"/>
      <c r="F166" s="66"/>
    </row>
    <row r="167">
      <c r="A167" s="84"/>
      <c r="B167" s="85"/>
      <c r="C167" s="86"/>
      <c r="F167" s="66"/>
    </row>
    <row r="168">
      <c r="A168" s="84"/>
      <c r="B168" s="85"/>
      <c r="C168" s="86"/>
      <c r="F168" s="66"/>
    </row>
    <row r="169">
      <c r="A169" s="84"/>
      <c r="B169" s="85"/>
      <c r="C169" s="86"/>
      <c r="F169" s="66"/>
    </row>
    <row r="170">
      <c r="A170" s="84"/>
      <c r="B170" s="85"/>
      <c r="C170" s="86"/>
      <c r="F170" s="66"/>
    </row>
    <row r="171">
      <c r="A171" s="84"/>
      <c r="B171" s="85"/>
      <c r="C171" s="86"/>
      <c r="F171" s="66"/>
    </row>
    <row r="172">
      <c r="A172" s="84"/>
      <c r="B172" s="85"/>
      <c r="C172" s="86"/>
      <c r="F172" s="66"/>
    </row>
    <row r="173">
      <c r="A173" s="84"/>
      <c r="B173" s="85"/>
      <c r="C173" s="86"/>
      <c r="F173" s="66"/>
    </row>
    <row r="174">
      <c r="A174" s="84"/>
      <c r="B174" s="85"/>
      <c r="C174" s="86"/>
      <c r="F174" s="66"/>
    </row>
    <row r="175">
      <c r="A175" s="84"/>
      <c r="B175" s="85"/>
      <c r="C175" s="86"/>
      <c r="F175" s="66"/>
    </row>
    <row r="176">
      <c r="A176" s="84"/>
      <c r="B176" s="85"/>
      <c r="C176" s="86"/>
      <c r="F176" s="66"/>
    </row>
    <row r="177">
      <c r="A177" s="84"/>
      <c r="B177" s="85"/>
      <c r="C177" s="86"/>
      <c r="F177" s="66"/>
    </row>
    <row r="178">
      <c r="A178" s="84"/>
      <c r="B178" s="85"/>
      <c r="C178" s="86"/>
      <c r="F178" s="66"/>
    </row>
    <row r="179">
      <c r="A179" s="84"/>
      <c r="B179" s="85"/>
      <c r="C179" s="86"/>
      <c r="F179" s="66"/>
    </row>
    <row r="180">
      <c r="A180" s="84"/>
      <c r="B180" s="85"/>
      <c r="C180" s="86"/>
      <c r="F180" s="66"/>
    </row>
    <row r="181">
      <c r="A181" s="84"/>
      <c r="B181" s="85"/>
      <c r="C181" s="86"/>
      <c r="F181" s="66"/>
    </row>
    <row r="182">
      <c r="A182" s="84"/>
      <c r="B182" s="85"/>
      <c r="C182" s="86"/>
      <c r="F182" s="66"/>
    </row>
    <row r="183">
      <c r="A183" s="84"/>
      <c r="B183" s="85"/>
      <c r="C183" s="86"/>
      <c r="F183" s="66"/>
    </row>
    <row r="184">
      <c r="A184" s="84"/>
      <c r="B184" s="85"/>
      <c r="C184" s="86"/>
      <c r="F184" s="66"/>
    </row>
    <row r="185">
      <c r="A185" s="84"/>
      <c r="B185" s="85"/>
      <c r="C185" s="86"/>
      <c r="F185" s="66"/>
    </row>
    <row r="186">
      <c r="A186" s="84"/>
      <c r="B186" s="85"/>
      <c r="C186" s="86"/>
      <c r="F186" s="66"/>
    </row>
    <row r="187">
      <c r="A187" s="84"/>
      <c r="B187" s="85"/>
      <c r="C187" s="86"/>
      <c r="F187" s="66"/>
    </row>
    <row r="188">
      <c r="A188" s="84"/>
      <c r="B188" s="85"/>
      <c r="C188" s="86"/>
      <c r="F188" s="66"/>
    </row>
    <row r="189">
      <c r="A189" s="84"/>
      <c r="B189" s="85"/>
      <c r="C189" s="86"/>
      <c r="F189" s="66"/>
    </row>
    <row r="190">
      <c r="A190" s="84"/>
      <c r="B190" s="85"/>
      <c r="C190" s="86"/>
      <c r="F190" s="66"/>
    </row>
    <row r="191">
      <c r="A191" s="84"/>
      <c r="B191" s="85"/>
      <c r="C191" s="86"/>
      <c r="F191" s="66"/>
    </row>
    <row r="192">
      <c r="A192" s="84"/>
      <c r="B192" s="85"/>
      <c r="C192" s="86"/>
      <c r="F192" s="66"/>
    </row>
    <row r="193">
      <c r="A193" s="84"/>
      <c r="B193" s="85"/>
      <c r="C193" s="86"/>
      <c r="F193" s="66"/>
    </row>
    <row r="194">
      <c r="A194" s="84"/>
      <c r="B194" s="85"/>
      <c r="C194" s="86"/>
      <c r="F194" s="66"/>
    </row>
    <row r="195">
      <c r="A195" s="84"/>
      <c r="B195" s="85"/>
      <c r="C195" s="86"/>
      <c r="F195" s="66"/>
    </row>
    <row r="196">
      <c r="A196" s="84"/>
      <c r="B196" s="85"/>
      <c r="C196" s="86"/>
      <c r="F196" s="66"/>
    </row>
    <row r="197">
      <c r="A197" s="84"/>
      <c r="B197" s="85"/>
      <c r="C197" s="86"/>
      <c r="F197" s="66"/>
    </row>
    <row r="198">
      <c r="A198" s="84"/>
      <c r="B198" s="85"/>
      <c r="C198" s="86"/>
      <c r="F198" s="66"/>
    </row>
    <row r="199">
      <c r="A199" s="84"/>
      <c r="B199" s="85"/>
      <c r="C199" s="86"/>
      <c r="F199" s="66"/>
    </row>
    <row r="200">
      <c r="A200" s="84"/>
      <c r="B200" s="85"/>
      <c r="C200" s="86"/>
      <c r="F200" s="66"/>
    </row>
    <row r="201">
      <c r="A201" s="84"/>
      <c r="B201" s="85"/>
      <c r="C201" s="86"/>
      <c r="F201" s="66"/>
    </row>
    <row r="202">
      <c r="A202" s="84"/>
      <c r="B202" s="85"/>
      <c r="C202" s="86"/>
      <c r="F202" s="66"/>
    </row>
    <row r="203">
      <c r="A203" s="84"/>
      <c r="B203" s="85"/>
      <c r="C203" s="86"/>
      <c r="F203" s="66"/>
    </row>
    <row r="204">
      <c r="A204" s="84"/>
      <c r="B204" s="85"/>
      <c r="C204" s="86"/>
      <c r="F204" s="66"/>
    </row>
    <row r="205">
      <c r="A205" s="84"/>
      <c r="B205" s="85"/>
      <c r="C205" s="86"/>
      <c r="F205" s="66"/>
    </row>
    <row r="206">
      <c r="A206" s="84"/>
      <c r="B206" s="85"/>
      <c r="C206" s="86"/>
      <c r="F206" s="66"/>
    </row>
    <row r="207">
      <c r="A207" s="84"/>
      <c r="B207" s="85"/>
      <c r="C207" s="86"/>
      <c r="F207" s="66"/>
    </row>
    <row r="208">
      <c r="A208" s="84"/>
      <c r="B208" s="85"/>
      <c r="C208" s="86"/>
      <c r="F208" s="66"/>
    </row>
    <row r="209">
      <c r="A209" s="84"/>
      <c r="B209" s="85"/>
      <c r="C209" s="86"/>
      <c r="F209" s="66"/>
    </row>
    <row r="210">
      <c r="A210" s="84"/>
      <c r="B210" s="85"/>
      <c r="C210" s="86"/>
      <c r="F210" s="66"/>
    </row>
    <row r="211">
      <c r="A211" s="84"/>
      <c r="B211" s="85"/>
      <c r="C211" s="86"/>
      <c r="F211" s="66"/>
    </row>
    <row r="212">
      <c r="A212" s="84"/>
      <c r="B212" s="85"/>
      <c r="C212" s="86"/>
      <c r="F212" s="66"/>
    </row>
    <row r="213">
      <c r="A213" s="84"/>
      <c r="B213" s="85"/>
      <c r="C213" s="86"/>
      <c r="F213" s="66"/>
    </row>
    <row r="214">
      <c r="A214" s="84"/>
      <c r="B214" s="85"/>
      <c r="C214" s="86"/>
      <c r="F214" s="66"/>
    </row>
    <row r="215">
      <c r="A215" s="84"/>
      <c r="B215" s="85"/>
      <c r="C215" s="86"/>
      <c r="F215" s="66"/>
    </row>
    <row r="216">
      <c r="A216" s="84"/>
      <c r="B216" s="85"/>
      <c r="C216" s="86"/>
      <c r="F216" s="66"/>
    </row>
    <row r="217">
      <c r="A217" s="84"/>
      <c r="B217" s="85"/>
      <c r="C217" s="86"/>
      <c r="F217" s="66"/>
    </row>
    <row r="218">
      <c r="A218" s="84"/>
      <c r="B218" s="85"/>
      <c r="C218" s="86"/>
      <c r="F218" s="66"/>
    </row>
    <row r="219">
      <c r="A219" s="84"/>
      <c r="B219" s="85"/>
      <c r="C219" s="86"/>
      <c r="F219" s="66"/>
    </row>
    <row r="220">
      <c r="A220" s="84"/>
      <c r="B220" s="85"/>
      <c r="C220" s="86"/>
      <c r="F220" s="66"/>
    </row>
    <row r="221">
      <c r="A221" s="84"/>
      <c r="B221" s="85"/>
      <c r="C221" s="86"/>
      <c r="F221" s="66"/>
    </row>
    <row r="222">
      <c r="A222" s="84"/>
      <c r="B222" s="85"/>
      <c r="C222" s="86"/>
      <c r="F222" s="66"/>
    </row>
    <row r="223">
      <c r="A223" s="84"/>
      <c r="B223" s="85"/>
      <c r="C223" s="86"/>
      <c r="F223" s="66"/>
    </row>
    <row r="224">
      <c r="A224" s="84"/>
      <c r="B224" s="85"/>
      <c r="C224" s="86"/>
      <c r="F224" s="66"/>
    </row>
    <row r="225">
      <c r="A225" s="84"/>
      <c r="B225" s="85"/>
      <c r="C225" s="86"/>
      <c r="F225" s="66"/>
    </row>
    <row r="226">
      <c r="A226" s="84"/>
      <c r="B226" s="85"/>
      <c r="C226" s="86"/>
      <c r="F226" s="66"/>
    </row>
    <row r="227">
      <c r="A227" s="84"/>
      <c r="B227" s="85"/>
      <c r="C227" s="86"/>
      <c r="F227" s="66"/>
    </row>
    <row r="228">
      <c r="A228" s="84"/>
      <c r="B228" s="85"/>
      <c r="C228" s="86"/>
      <c r="F228" s="66"/>
    </row>
    <row r="229">
      <c r="A229" s="84"/>
      <c r="B229" s="85"/>
      <c r="C229" s="86"/>
      <c r="F229" s="66"/>
    </row>
    <row r="230">
      <c r="A230" s="84"/>
      <c r="B230" s="85"/>
      <c r="C230" s="86"/>
      <c r="F230" s="66"/>
    </row>
    <row r="231">
      <c r="A231" s="84"/>
      <c r="B231" s="85"/>
      <c r="C231" s="86"/>
      <c r="F231" s="66"/>
    </row>
    <row r="232">
      <c r="A232" s="84"/>
      <c r="B232" s="85"/>
      <c r="C232" s="86"/>
      <c r="F232" s="66"/>
    </row>
    <row r="233">
      <c r="A233" s="84"/>
      <c r="B233" s="85"/>
      <c r="C233" s="86"/>
      <c r="F233" s="66"/>
    </row>
    <row r="234">
      <c r="A234" s="84"/>
      <c r="B234" s="85"/>
      <c r="C234" s="86"/>
      <c r="F234" s="66"/>
    </row>
    <row r="235">
      <c r="A235" s="84"/>
      <c r="B235" s="85"/>
      <c r="C235" s="86"/>
      <c r="F235" s="66"/>
    </row>
    <row r="236">
      <c r="A236" s="84"/>
      <c r="B236" s="85"/>
      <c r="C236" s="86"/>
      <c r="F236" s="66"/>
    </row>
    <row r="237">
      <c r="A237" s="84"/>
      <c r="B237" s="85"/>
      <c r="C237" s="86"/>
      <c r="F237" s="66"/>
    </row>
    <row r="238">
      <c r="A238" s="84"/>
      <c r="B238" s="85"/>
      <c r="C238" s="86"/>
      <c r="F238" s="66"/>
    </row>
    <row r="239">
      <c r="A239" s="84"/>
      <c r="B239" s="85"/>
      <c r="C239" s="86"/>
      <c r="F239" s="66"/>
    </row>
    <row r="240">
      <c r="A240" s="84"/>
      <c r="B240" s="85"/>
      <c r="C240" s="86"/>
      <c r="F240" s="66"/>
    </row>
    <row r="241">
      <c r="A241" s="84"/>
      <c r="B241" s="85"/>
      <c r="C241" s="86"/>
      <c r="F241" s="66"/>
    </row>
    <row r="242">
      <c r="A242" s="84"/>
      <c r="B242" s="85"/>
      <c r="C242" s="86"/>
      <c r="F242" s="66"/>
    </row>
    <row r="243">
      <c r="A243" s="84"/>
      <c r="B243" s="85"/>
      <c r="C243" s="86"/>
      <c r="F243" s="66"/>
    </row>
    <row r="244">
      <c r="A244" s="84"/>
      <c r="B244" s="85"/>
      <c r="C244" s="86"/>
      <c r="F244" s="66"/>
    </row>
    <row r="245">
      <c r="A245" s="84"/>
      <c r="B245" s="85"/>
      <c r="C245" s="86"/>
      <c r="F245" s="66"/>
    </row>
    <row r="246">
      <c r="A246" s="84"/>
      <c r="B246" s="85"/>
      <c r="C246" s="86"/>
      <c r="F246" s="66"/>
    </row>
    <row r="247">
      <c r="A247" s="84"/>
      <c r="B247" s="85"/>
      <c r="C247" s="86"/>
      <c r="F247" s="66"/>
    </row>
    <row r="248">
      <c r="A248" s="84"/>
      <c r="B248" s="85"/>
      <c r="C248" s="86"/>
      <c r="F248" s="66"/>
    </row>
    <row r="249">
      <c r="A249" s="84"/>
      <c r="B249" s="85"/>
      <c r="C249" s="86"/>
      <c r="F249" s="66"/>
    </row>
    <row r="250">
      <c r="A250" s="84"/>
      <c r="B250" s="85"/>
      <c r="C250" s="86"/>
      <c r="F250" s="66"/>
    </row>
    <row r="251">
      <c r="A251" s="84"/>
      <c r="B251" s="85"/>
      <c r="C251" s="86"/>
      <c r="F251" s="66"/>
    </row>
    <row r="252">
      <c r="A252" s="84"/>
      <c r="B252" s="85"/>
      <c r="C252" s="86"/>
      <c r="F252" s="66"/>
    </row>
    <row r="253">
      <c r="A253" s="84"/>
      <c r="B253" s="85"/>
      <c r="C253" s="86"/>
      <c r="F253" s="66"/>
    </row>
    <row r="254">
      <c r="A254" s="84"/>
      <c r="B254" s="85"/>
      <c r="C254" s="86"/>
      <c r="F254" s="66"/>
    </row>
    <row r="255">
      <c r="A255" s="84"/>
      <c r="B255" s="85"/>
      <c r="C255" s="86"/>
      <c r="F255" s="66"/>
    </row>
    <row r="256">
      <c r="A256" s="84"/>
      <c r="B256" s="85"/>
      <c r="C256" s="86"/>
      <c r="F256" s="66"/>
    </row>
    <row r="257">
      <c r="A257" s="84"/>
      <c r="B257" s="85"/>
      <c r="C257" s="86"/>
      <c r="F257" s="66"/>
    </row>
    <row r="258">
      <c r="A258" s="84"/>
      <c r="B258" s="85"/>
      <c r="C258" s="86"/>
      <c r="F258" s="66"/>
    </row>
    <row r="259">
      <c r="A259" s="84"/>
      <c r="B259" s="85"/>
      <c r="C259" s="86"/>
      <c r="F259" s="66"/>
    </row>
    <row r="260">
      <c r="A260" s="84"/>
      <c r="B260" s="85"/>
      <c r="C260" s="86"/>
      <c r="F260" s="66"/>
    </row>
    <row r="261">
      <c r="A261" s="84"/>
      <c r="B261" s="85"/>
      <c r="C261" s="86"/>
      <c r="F261" s="66"/>
    </row>
    <row r="262">
      <c r="A262" s="84"/>
      <c r="B262" s="85"/>
      <c r="C262" s="86"/>
      <c r="F262" s="66"/>
    </row>
    <row r="263">
      <c r="A263" s="84"/>
      <c r="B263" s="85"/>
      <c r="C263" s="86"/>
      <c r="F263" s="66"/>
    </row>
    <row r="264">
      <c r="A264" s="84"/>
      <c r="B264" s="85"/>
      <c r="C264" s="86"/>
      <c r="F264" s="66"/>
    </row>
    <row r="265">
      <c r="A265" s="84"/>
      <c r="B265" s="85"/>
      <c r="C265" s="86"/>
      <c r="F265" s="66"/>
    </row>
    <row r="266">
      <c r="A266" s="84"/>
      <c r="B266" s="85"/>
      <c r="C266" s="86"/>
      <c r="F266" s="66"/>
    </row>
    <row r="267">
      <c r="A267" s="84"/>
      <c r="B267" s="85"/>
      <c r="C267" s="86"/>
      <c r="F267" s="66"/>
    </row>
    <row r="268">
      <c r="A268" s="84"/>
      <c r="B268" s="85"/>
      <c r="C268" s="86"/>
      <c r="F268" s="66"/>
    </row>
    <row r="269">
      <c r="A269" s="84"/>
      <c r="B269" s="85"/>
      <c r="C269" s="86"/>
      <c r="F269" s="66"/>
    </row>
    <row r="270">
      <c r="A270" s="84"/>
      <c r="B270" s="85"/>
      <c r="C270" s="86"/>
      <c r="F270" s="66"/>
    </row>
    <row r="271">
      <c r="A271" s="84"/>
      <c r="B271" s="85"/>
      <c r="C271" s="86"/>
      <c r="F271" s="66"/>
    </row>
    <row r="272">
      <c r="A272" s="84"/>
      <c r="B272" s="85"/>
      <c r="C272" s="86"/>
      <c r="F272" s="66"/>
    </row>
    <row r="273">
      <c r="A273" s="84"/>
      <c r="B273" s="85"/>
      <c r="C273" s="86"/>
      <c r="F273" s="66"/>
    </row>
    <row r="274">
      <c r="A274" s="84"/>
      <c r="B274" s="85"/>
      <c r="C274" s="86"/>
      <c r="F274" s="66"/>
    </row>
    <row r="275">
      <c r="A275" s="84"/>
      <c r="B275" s="85"/>
      <c r="C275" s="86"/>
      <c r="F275" s="66"/>
    </row>
    <row r="276">
      <c r="A276" s="84"/>
      <c r="B276" s="85"/>
      <c r="C276" s="86"/>
      <c r="F276" s="66"/>
    </row>
    <row r="277">
      <c r="A277" s="84"/>
      <c r="B277" s="85"/>
      <c r="C277" s="86"/>
      <c r="F277" s="66"/>
    </row>
    <row r="278">
      <c r="A278" s="84"/>
      <c r="B278" s="85"/>
      <c r="C278" s="86"/>
      <c r="F278" s="66"/>
    </row>
    <row r="279">
      <c r="A279" s="84"/>
      <c r="B279" s="85"/>
      <c r="C279" s="86"/>
      <c r="F279" s="66"/>
    </row>
    <row r="280">
      <c r="A280" s="84"/>
      <c r="B280" s="85"/>
      <c r="C280" s="86"/>
      <c r="F280" s="66"/>
    </row>
    <row r="281">
      <c r="A281" s="84"/>
      <c r="B281" s="85"/>
      <c r="C281" s="86"/>
      <c r="F281" s="66"/>
    </row>
    <row r="282">
      <c r="A282" s="84"/>
      <c r="B282" s="85"/>
      <c r="C282" s="86"/>
      <c r="F282" s="66"/>
    </row>
    <row r="283">
      <c r="A283" s="84"/>
      <c r="B283" s="85"/>
      <c r="C283" s="86"/>
      <c r="F283" s="66"/>
    </row>
    <row r="284">
      <c r="A284" s="84"/>
      <c r="B284" s="85"/>
      <c r="C284" s="86"/>
      <c r="F284" s="66"/>
    </row>
    <row r="285">
      <c r="A285" s="84"/>
      <c r="B285" s="85"/>
      <c r="C285" s="86"/>
      <c r="F285" s="66"/>
    </row>
    <row r="286">
      <c r="A286" s="84"/>
      <c r="B286" s="85"/>
      <c r="C286" s="86"/>
      <c r="F286" s="66"/>
    </row>
    <row r="287">
      <c r="A287" s="84"/>
      <c r="B287" s="85"/>
      <c r="C287" s="86"/>
      <c r="F287" s="66"/>
    </row>
    <row r="288">
      <c r="A288" s="84"/>
      <c r="B288" s="85"/>
      <c r="C288" s="86"/>
      <c r="F288" s="66"/>
    </row>
    <row r="289">
      <c r="A289" s="84"/>
      <c r="B289" s="85"/>
      <c r="C289" s="86"/>
      <c r="F289" s="66"/>
    </row>
    <row r="290">
      <c r="A290" s="84"/>
      <c r="B290" s="85"/>
      <c r="C290" s="86"/>
      <c r="F290" s="66"/>
    </row>
    <row r="291">
      <c r="A291" s="84"/>
      <c r="B291" s="85"/>
      <c r="C291" s="86"/>
      <c r="F291" s="66"/>
    </row>
    <row r="292">
      <c r="A292" s="84"/>
      <c r="B292" s="85"/>
      <c r="C292" s="86"/>
      <c r="F292" s="66"/>
    </row>
    <row r="293">
      <c r="A293" s="84"/>
      <c r="B293" s="85"/>
      <c r="C293" s="86"/>
      <c r="F293" s="66"/>
    </row>
    <row r="294">
      <c r="A294" s="84"/>
      <c r="B294" s="85"/>
      <c r="C294" s="86"/>
      <c r="F294" s="66"/>
    </row>
    <row r="295">
      <c r="A295" s="84"/>
      <c r="B295" s="85"/>
      <c r="C295" s="86"/>
      <c r="F295" s="66"/>
    </row>
    <row r="296">
      <c r="A296" s="84"/>
      <c r="B296" s="85"/>
      <c r="C296" s="86"/>
      <c r="F296" s="66"/>
    </row>
    <row r="297">
      <c r="A297" s="84"/>
      <c r="B297" s="85"/>
      <c r="C297" s="86"/>
      <c r="F297" s="66"/>
    </row>
    <row r="298">
      <c r="A298" s="84"/>
      <c r="B298" s="85"/>
      <c r="C298" s="86"/>
      <c r="F298" s="66"/>
    </row>
    <row r="299">
      <c r="A299" s="84"/>
      <c r="B299" s="85"/>
      <c r="C299" s="86"/>
      <c r="F299" s="66"/>
    </row>
    <row r="300">
      <c r="A300" s="84"/>
      <c r="B300" s="85"/>
      <c r="C300" s="86"/>
      <c r="F300" s="66"/>
    </row>
    <row r="301">
      <c r="A301" s="84"/>
      <c r="B301" s="85"/>
      <c r="C301" s="86"/>
      <c r="F301" s="66"/>
    </row>
    <row r="302">
      <c r="A302" s="84"/>
      <c r="B302" s="85"/>
      <c r="C302" s="86"/>
      <c r="F302" s="66"/>
    </row>
    <row r="303">
      <c r="A303" s="84"/>
      <c r="B303" s="85"/>
      <c r="C303" s="86"/>
      <c r="F303" s="66"/>
    </row>
    <row r="304">
      <c r="A304" s="84"/>
      <c r="B304" s="85"/>
      <c r="C304" s="86"/>
      <c r="F304" s="66"/>
    </row>
    <row r="305">
      <c r="A305" s="84"/>
      <c r="B305" s="85"/>
      <c r="C305" s="86"/>
      <c r="F305" s="66"/>
    </row>
    <row r="306">
      <c r="A306" s="84"/>
      <c r="B306" s="85"/>
      <c r="C306" s="86"/>
      <c r="F306" s="66"/>
    </row>
    <row r="307">
      <c r="A307" s="84"/>
      <c r="B307" s="85"/>
      <c r="C307" s="86"/>
      <c r="F307" s="66"/>
    </row>
    <row r="308">
      <c r="A308" s="84"/>
      <c r="B308" s="85"/>
      <c r="C308" s="86"/>
      <c r="F308" s="66"/>
    </row>
    <row r="309">
      <c r="A309" s="84"/>
      <c r="B309" s="85"/>
      <c r="C309" s="86"/>
      <c r="F309" s="66"/>
    </row>
    <row r="310">
      <c r="A310" s="84"/>
      <c r="B310" s="85"/>
      <c r="C310" s="86"/>
      <c r="F310" s="66"/>
    </row>
    <row r="311">
      <c r="A311" s="84"/>
      <c r="B311" s="85"/>
      <c r="C311" s="86"/>
      <c r="F311" s="66"/>
    </row>
    <row r="312">
      <c r="A312" s="84"/>
      <c r="B312" s="85"/>
      <c r="C312" s="86"/>
      <c r="F312" s="66"/>
    </row>
    <row r="313">
      <c r="A313" s="84"/>
      <c r="B313" s="85"/>
      <c r="C313" s="86"/>
      <c r="F313" s="66"/>
    </row>
    <row r="314">
      <c r="A314" s="84"/>
      <c r="B314" s="85"/>
      <c r="C314" s="86"/>
      <c r="F314" s="66"/>
    </row>
    <row r="315">
      <c r="A315" s="84"/>
      <c r="B315" s="85"/>
      <c r="C315" s="86"/>
      <c r="F315" s="66"/>
    </row>
    <row r="316">
      <c r="A316" s="84"/>
      <c r="B316" s="85"/>
      <c r="C316" s="86"/>
      <c r="F316" s="66"/>
    </row>
    <row r="317">
      <c r="A317" s="84"/>
      <c r="B317" s="85"/>
      <c r="C317" s="86"/>
      <c r="F317" s="66"/>
    </row>
    <row r="318">
      <c r="A318" s="84"/>
      <c r="B318" s="85"/>
      <c r="C318" s="86"/>
      <c r="F318" s="66"/>
    </row>
    <row r="319">
      <c r="A319" s="84"/>
      <c r="B319" s="85"/>
      <c r="C319" s="86"/>
      <c r="F319" s="66"/>
    </row>
    <row r="320">
      <c r="A320" s="84"/>
      <c r="B320" s="85"/>
      <c r="C320" s="86"/>
      <c r="F320" s="66"/>
    </row>
    <row r="321">
      <c r="A321" s="84"/>
      <c r="B321" s="85"/>
      <c r="C321" s="86"/>
      <c r="F321" s="66"/>
    </row>
    <row r="322">
      <c r="A322" s="84"/>
      <c r="B322" s="85"/>
      <c r="C322" s="86"/>
      <c r="F322" s="66"/>
    </row>
    <row r="323">
      <c r="A323" s="84"/>
      <c r="B323" s="85"/>
      <c r="C323" s="86"/>
      <c r="F323" s="66"/>
    </row>
    <row r="324">
      <c r="A324" s="84"/>
      <c r="B324" s="85"/>
      <c r="C324" s="86"/>
      <c r="F324" s="66"/>
    </row>
    <row r="325">
      <c r="A325" s="84"/>
      <c r="B325" s="85"/>
      <c r="C325" s="86"/>
      <c r="F325" s="66"/>
    </row>
    <row r="326">
      <c r="A326" s="84"/>
      <c r="B326" s="85"/>
      <c r="C326" s="86"/>
      <c r="F326" s="66"/>
    </row>
    <row r="327">
      <c r="A327" s="84"/>
      <c r="B327" s="85"/>
      <c r="C327" s="86"/>
      <c r="F327" s="66"/>
    </row>
    <row r="328">
      <c r="A328" s="84"/>
      <c r="B328" s="85"/>
      <c r="C328" s="86"/>
      <c r="F328" s="66"/>
    </row>
    <row r="329">
      <c r="A329" s="84"/>
      <c r="B329" s="85"/>
      <c r="C329" s="86"/>
      <c r="F329" s="66"/>
    </row>
    <row r="330">
      <c r="A330" s="84"/>
      <c r="B330" s="85"/>
      <c r="C330" s="86"/>
      <c r="F330" s="66"/>
    </row>
    <row r="331">
      <c r="A331" s="84"/>
      <c r="B331" s="85"/>
      <c r="C331" s="86"/>
      <c r="F331" s="66"/>
    </row>
    <row r="332">
      <c r="A332" s="84"/>
      <c r="B332" s="85"/>
      <c r="C332" s="86"/>
      <c r="F332" s="66"/>
    </row>
    <row r="333">
      <c r="A333" s="84"/>
      <c r="B333" s="85"/>
      <c r="C333" s="86"/>
      <c r="F333" s="66"/>
    </row>
    <row r="334">
      <c r="A334" s="84"/>
      <c r="B334" s="85"/>
      <c r="C334" s="86"/>
      <c r="F334" s="66"/>
    </row>
    <row r="335">
      <c r="A335" s="84"/>
      <c r="B335" s="85"/>
      <c r="C335" s="86"/>
      <c r="F335" s="66"/>
    </row>
    <row r="336">
      <c r="A336" s="84"/>
      <c r="B336" s="85"/>
      <c r="C336" s="86"/>
      <c r="F336" s="66"/>
    </row>
    <row r="337">
      <c r="A337" s="84"/>
      <c r="B337" s="85"/>
      <c r="C337" s="86"/>
      <c r="F337" s="66"/>
    </row>
    <row r="338">
      <c r="A338" s="84"/>
      <c r="B338" s="85"/>
      <c r="C338" s="86"/>
      <c r="F338" s="66"/>
    </row>
    <row r="339">
      <c r="A339" s="84"/>
      <c r="B339" s="85"/>
      <c r="C339" s="86"/>
      <c r="F339" s="66"/>
    </row>
    <row r="340">
      <c r="A340" s="84"/>
      <c r="B340" s="85"/>
      <c r="C340" s="86"/>
      <c r="F340" s="66"/>
    </row>
    <row r="341">
      <c r="A341" s="84"/>
      <c r="B341" s="85"/>
      <c r="C341" s="86"/>
      <c r="F341" s="66"/>
    </row>
    <row r="342">
      <c r="A342" s="84"/>
      <c r="B342" s="85"/>
      <c r="C342" s="86"/>
      <c r="F342" s="66"/>
    </row>
    <row r="343">
      <c r="A343" s="84"/>
      <c r="B343" s="85"/>
      <c r="C343" s="86"/>
      <c r="F343" s="66"/>
    </row>
    <row r="344">
      <c r="A344" s="84"/>
      <c r="B344" s="85"/>
      <c r="C344" s="86"/>
      <c r="F344" s="66"/>
    </row>
    <row r="345">
      <c r="A345" s="84"/>
      <c r="B345" s="85"/>
      <c r="C345" s="86"/>
      <c r="F345" s="66"/>
    </row>
    <row r="346">
      <c r="A346" s="84"/>
      <c r="B346" s="85"/>
      <c r="C346" s="86"/>
      <c r="F346" s="66"/>
    </row>
    <row r="347">
      <c r="A347" s="84"/>
      <c r="B347" s="85"/>
      <c r="C347" s="86"/>
      <c r="F347" s="66"/>
    </row>
    <row r="348">
      <c r="A348" s="84"/>
      <c r="B348" s="85"/>
      <c r="C348" s="86"/>
      <c r="F348" s="66"/>
    </row>
    <row r="349">
      <c r="A349" s="84"/>
      <c r="B349" s="85"/>
      <c r="C349" s="86"/>
      <c r="F349" s="66"/>
    </row>
    <row r="350">
      <c r="A350" s="84"/>
      <c r="B350" s="85"/>
      <c r="C350" s="86"/>
      <c r="F350" s="66"/>
    </row>
    <row r="351">
      <c r="A351" s="84"/>
      <c r="B351" s="85"/>
      <c r="C351" s="86"/>
      <c r="F351" s="66"/>
    </row>
    <row r="352">
      <c r="A352" s="84"/>
      <c r="B352" s="85"/>
      <c r="C352" s="86"/>
      <c r="F352" s="66"/>
    </row>
    <row r="353">
      <c r="A353" s="84"/>
      <c r="B353" s="85"/>
      <c r="C353" s="86"/>
      <c r="F353" s="66"/>
    </row>
    <row r="354">
      <c r="A354" s="84"/>
      <c r="B354" s="85"/>
      <c r="C354" s="86"/>
      <c r="F354" s="66"/>
    </row>
    <row r="355">
      <c r="A355" s="84"/>
      <c r="B355" s="85"/>
      <c r="C355" s="86"/>
      <c r="F355" s="66"/>
    </row>
    <row r="356">
      <c r="A356" s="84"/>
      <c r="B356" s="85"/>
      <c r="C356" s="86"/>
      <c r="F356" s="66"/>
    </row>
    <row r="357">
      <c r="A357" s="84"/>
      <c r="B357" s="85"/>
      <c r="C357" s="86"/>
      <c r="F357" s="66"/>
    </row>
    <row r="358">
      <c r="A358" s="84"/>
      <c r="B358" s="85"/>
      <c r="C358" s="86"/>
      <c r="F358" s="66"/>
    </row>
    <row r="359">
      <c r="A359" s="84"/>
      <c r="B359" s="85"/>
      <c r="C359" s="86"/>
      <c r="F359" s="66"/>
    </row>
    <row r="360">
      <c r="A360" s="84"/>
      <c r="B360" s="85"/>
      <c r="C360" s="86"/>
      <c r="F360" s="66"/>
    </row>
    <row r="361">
      <c r="A361" s="84"/>
      <c r="B361" s="85"/>
      <c r="C361" s="86"/>
      <c r="F361" s="66"/>
    </row>
    <row r="362">
      <c r="A362" s="84"/>
      <c r="B362" s="85"/>
      <c r="C362" s="86"/>
      <c r="F362" s="66"/>
    </row>
    <row r="363">
      <c r="A363" s="84"/>
      <c r="B363" s="85"/>
      <c r="C363" s="86"/>
      <c r="F363" s="66"/>
    </row>
    <row r="364">
      <c r="A364" s="84"/>
      <c r="B364" s="85"/>
      <c r="C364" s="86"/>
      <c r="F364" s="66"/>
    </row>
    <row r="365">
      <c r="A365" s="84"/>
      <c r="B365" s="85"/>
      <c r="C365" s="86"/>
      <c r="F365" s="66"/>
    </row>
    <row r="366">
      <c r="A366" s="84"/>
      <c r="B366" s="85"/>
      <c r="C366" s="86"/>
      <c r="F366" s="66"/>
    </row>
    <row r="367">
      <c r="A367" s="84"/>
      <c r="B367" s="85"/>
      <c r="C367" s="86"/>
      <c r="F367" s="66"/>
    </row>
    <row r="368">
      <c r="A368" s="84"/>
      <c r="B368" s="85"/>
      <c r="C368" s="86"/>
      <c r="F368" s="66"/>
    </row>
    <row r="369">
      <c r="A369" s="84"/>
      <c r="B369" s="85"/>
      <c r="C369" s="86"/>
      <c r="F369" s="66"/>
    </row>
    <row r="370">
      <c r="A370" s="84"/>
      <c r="B370" s="85"/>
      <c r="C370" s="86"/>
      <c r="F370" s="66"/>
    </row>
    <row r="371">
      <c r="A371" s="84"/>
      <c r="B371" s="85"/>
      <c r="C371" s="86"/>
      <c r="F371" s="66"/>
    </row>
    <row r="372">
      <c r="A372" s="84"/>
      <c r="B372" s="85"/>
      <c r="C372" s="86"/>
      <c r="F372" s="66"/>
    </row>
    <row r="373">
      <c r="A373" s="84"/>
      <c r="B373" s="85"/>
      <c r="C373" s="86"/>
      <c r="F373" s="66"/>
    </row>
    <row r="374">
      <c r="A374" s="84"/>
      <c r="B374" s="85"/>
      <c r="C374" s="86"/>
      <c r="F374" s="66"/>
    </row>
    <row r="375">
      <c r="A375" s="84"/>
      <c r="B375" s="85"/>
      <c r="C375" s="86"/>
      <c r="F375" s="66"/>
    </row>
    <row r="376">
      <c r="A376" s="84"/>
      <c r="B376" s="85"/>
      <c r="C376" s="86"/>
      <c r="F376" s="66"/>
    </row>
    <row r="377">
      <c r="A377" s="84"/>
      <c r="B377" s="85"/>
      <c r="C377" s="86"/>
      <c r="F377" s="66"/>
    </row>
    <row r="378">
      <c r="A378" s="84"/>
      <c r="B378" s="85"/>
      <c r="C378" s="86"/>
      <c r="F378" s="66"/>
    </row>
    <row r="379">
      <c r="A379" s="84"/>
      <c r="B379" s="85"/>
      <c r="C379" s="86"/>
      <c r="F379" s="66"/>
    </row>
    <row r="380">
      <c r="A380" s="84"/>
      <c r="B380" s="85"/>
      <c r="C380" s="86"/>
      <c r="F380" s="66"/>
    </row>
    <row r="381">
      <c r="A381" s="84"/>
      <c r="B381" s="85"/>
      <c r="C381" s="86"/>
      <c r="F381" s="66"/>
    </row>
    <row r="382">
      <c r="A382" s="84"/>
      <c r="B382" s="85"/>
      <c r="C382" s="86"/>
      <c r="F382" s="66"/>
    </row>
    <row r="383">
      <c r="A383" s="84"/>
      <c r="B383" s="85"/>
      <c r="C383" s="86"/>
      <c r="F383" s="66"/>
    </row>
    <row r="384">
      <c r="A384" s="84"/>
      <c r="B384" s="85"/>
      <c r="C384" s="86"/>
      <c r="F384" s="66"/>
    </row>
    <row r="385">
      <c r="A385" s="84"/>
      <c r="B385" s="85"/>
      <c r="C385" s="86"/>
      <c r="F385" s="66"/>
    </row>
    <row r="386">
      <c r="A386" s="84"/>
      <c r="B386" s="85"/>
      <c r="C386" s="86"/>
      <c r="F386" s="66"/>
    </row>
    <row r="387">
      <c r="A387" s="84"/>
      <c r="B387" s="85"/>
      <c r="C387" s="86"/>
      <c r="F387" s="66"/>
    </row>
    <row r="388">
      <c r="A388" s="84"/>
      <c r="B388" s="85"/>
      <c r="C388" s="86"/>
      <c r="F388" s="66"/>
    </row>
    <row r="389">
      <c r="A389" s="84"/>
      <c r="B389" s="85"/>
      <c r="C389" s="86"/>
      <c r="F389" s="66"/>
    </row>
    <row r="390">
      <c r="A390" s="84"/>
      <c r="B390" s="85"/>
      <c r="C390" s="86"/>
      <c r="F390" s="66"/>
    </row>
    <row r="391">
      <c r="A391" s="84"/>
      <c r="B391" s="85"/>
      <c r="C391" s="86"/>
      <c r="F391" s="66"/>
    </row>
    <row r="392">
      <c r="A392" s="84"/>
      <c r="B392" s="85"/>
      <c r="C392" s="86"/>
      <c r="F392" s="66"/>
    </row>
    <row r="393">
      <c r="A393" s="84"/>
      <c r="B393" s="85"/>
      <c r="C393" s="86"/>
      <c r="F393" s="66"/>
    </row>
    <row r="394">
      <c r="A394" s="84"/>
      <c r="B394" s="85"/>
      <c r="C394" s="86"/>
      <c r="F394" s="66"/>
    </row>
    <row r="395">
      <c r="A395" s="84"/>
      <c r="B395" s="85"/>
      <c r="C395" s="86"/>
      <c r="F395" s="66"/>
    </row>
    <row r="396">
      <c r="A396" s="84"/>
      <c r="B396" s="85"/>
      <c r="C396" s="86"/>
      <c r="F396" s="66"/>
    </row>
    <row r="397">
      <c r="A397" s="84"/>
      <c r="B397" s="85"/>
      <c r="C397" s="86"/>
      <c r="F397" s="66"/>
    </row>
    <row r="398">
      <c r="A398" s="84"/>
      <c r="B398" s="85"/>
      <c r="C398" s="86"/>
      <c r="F398" s="66"/>
    </row>
    <row r="399">
      <c r="A399" s="84"/>
      <c r="B399" s="85"/>
      <c r="C399" s="86"/>
      <c r="F399" s="66"/>
    </row>
    <row r="400">
      <c r="A400" s="84"/>
      <c r="B400" s="85"/>
      <c r="C400" s="86"/>
      <c r="F400" s="66"/>
    </row>
    <row r="401">
      <c r="A401" s="84"/>
      <c r="B401" s="85"/>
      <c r="C401" s="86"/>
      <c r="F401" s="66"/>
    </row>
    <row r="402">
      <c r="A402" s="84"/>
      <c r="B402" s="85"/>
      <c r="C402" s="86"/>
      <c r="F402" s="66"/>
    </row>
    <row r="403">
      <c r="A403" s="84"/>
      <c r="B403" s="85"/>
      <c r="C403" s="86"/>
      <c r="F403" s="66"/>
    </row>
    <row r="404">
      <c r="A404" s="84"/>
      <c r="B404" s="85"/>
      <c r="C404" s="86"/>
      <c r="F404" s="66"/>
    </row>
    <row r="405">
      <c r="A405" s="84"/>
      <c r="B405" s="85"/>
      <c r="C405" s="86"/>
      <c r="F405" s="66"/>
    </row>
    <row r="406">
      <c r="A406" s="84"/>
      <c r="B406" s="85"/>
      <c r="C406" s="86"/>
      <c r="F406" s="66"/>
    </row>
    <row r="407">
      <c r="A407" s="84"/>
      <c r="B407" s="85"/>
      <c r="C407" s="86"/>
      <c r="F407" s="66"/>
    </row>
    <row r="408">
      <c r="A408" s="84"/>
      <c r="B408" s="85"/>
      <c r="C408" s="86"/>
      <c r="F408" s="66"/>
    </row>
    <row r="409">
      <c r="A409" s="84"/>
      <c r="B409" s="85"/>
      <c r="C409" s="86"/>
      <c r="F409" s="66"/>
    </row>
    <row r="410">
      <c r="A410" s="84"/>
      <c r="B410" s="85"/>
      <c r="C410" s="86"/>
      <c r="F410" s="66"/>
    </row>
    <row r="411">
      <c r="A411" s="84"/>
      <c r="B411" s="85"/>
      <c r="C411" s="86"/>
      <c r="F411" s="66"/>
    </row>
    <row r="412">
      <c r="A412" s="84"/>
      <c r="B412" s="85"/>
      <c r="C412" s="86"/>
      <c r="F412" s="66"/>
    </row>
    <row r="413">
      <c r="A413" s="84"/>
      <c r="B413" s="85"/>
      <c r="C413" s="86"/>
      <c r="F413" s="66"/>
    </row>
    <row r="414">
      <c r="A414" s="84"/>
      <c r="B414" s="85"/>
      <c r="C414" s="86"/>
      <c r="F414" s="66"/>
    </row>
    <row r="415">
      <c r="A415" s="84"/>
      <c r="B415" s="85"/>
      <c r="C415" s="86"/>
      <c r="F415" s="66"/>
    </row>
    <row r="416">
      <c r="A416" s="84"/>
      <c r="B416" s="85"/>
      <c r="C416" s="86"/>
      <c r="F416" s="66"/>
    </row>
    <row r="417">
      <c r="A417" s="84"/>
      <c r="B417" s="85"/>
      <c r="C417" s="86"/>
      <c r="F417" s="66"/>
    </row>
    <row r="418">
      <c r="A418" s="84"/>
      <c r="B418" s="85"/>
      <c r="C418" s="86"/>
      <c r="F418" s="66"/>
    </row>
    <row r="419">
      <c r="A419" s="84"/>
      <c r="B419" s="85"/>
      <c r="C419" s="86"/>
      <c r="F419" s="66"/>
    </row>
    <row r="420">
      <c r="A420" s="84"/>
      <c r="B420" s="85"/>
      <c r="C420" s="86"/>
      <c r="F420" s="66"/>
    </row>
    <row r="421">
      <c r="A421" s="84"/>
      <c r="B421" s="85"/>
      <c r="C421" s="86"/>
      <c r="F421" s="66"/>
    </row>
    <row r="422">
      <c r="A422" s="84"/>
      <c r="B422" s="85"/>
      <c r="C422" s="86"/>
      <c r="F422" s="66"/>
    </row>
    <row r="423">
      <c r="A423" s="84"/>
      <c r="B423" s="85"/>
      <c r="C423" s="86"/>
      <c r="F423" s="66"/>
    </row>
    <row r="424">
      <c r="A424" s="84"/>
      <c r="B424" s="85"/>
      <c r="C424" s="86"/>
      <c r="F424" s="66"/>
    </row>
    <row r="425">
      <c r="A425" s="84"/>
      <c r="B425" s="85"/>
      <c r="C425" s="86"/>
      <c r="F425" s="66"/>
    </row>
    <row r="426">
      <c r="A426" s="84"/>
      <c r="B426" s="85"/>
      <c r="C426" s="86"/>
      <c r="F426" s="66"/>
    </row>
    <row r="427">
      <c r="A427" s="84"/>
      <c r="B427" s="85"/>
      <c r="C427" s="86"/>
      <c r="F427" s="66"/>
    </row>
    <row r="428">
      <c r="A428" s="84"/>
      <c r="B428" s="85"/>
      <c r="C428" s="86"/>
      <c r="F428" s="66"/>
    </row>
    <row r="429">
      <c r="A429" s="84"/>
      <c r="B429" s="85"/>
      <c r="C429" s="86"/>
      <c r="F429" s="66"/>
    </row>
    <row r="430">
      <c r="A430" s="84"/>
      <c r="B430" s="85"/>
      <c r="C430" s="86"/>
      <c r="F430" s="66"/>
    </row>
    <row r="431">
      <c r="A431" s="84"/>
      <c r="B431" s="85"/>
      <c r="C431" s="86"/>
      <c r="F431" s="66"/>
    </row>
    <row r="432">
      <c r="A432" s="84"/>
      <c r="B432" s="85"/>
      <c r="C432" s="86"/>
      <c r="F432" s="66"/>
    </row>
    <row r="433">
      <c r="A433" s="84"/>
      <c r="B433" s="85"/>
      <c r="C433" s="86"/>
      <c r="F433" s="66"/>
    </row>
    <row r="434">
      <c r="A434" s="84"/>
      <c r="B434" s="85"/>
      <c r="C434" s="86"/>
      <c r="F434" s="66"/>
    </row>
    <row r="435">
      <c r="A435" s="84"/>
      <c r="B435" s="85"/>
      <c r="C435" s="86"/>
      <c r="F435" s="66"/>
    </row>
    <row r="436">
      <c r="A436" s="84"/>
      <c r="B436" s="85"/>
      <c r="C436" s="86"/>
      <c r="F436" s="66"/>
    </row>
    <row r="437">
      <c r="A437" s="84"/>
      <c r="B437" s="85"/>
      <c r="C437" s="86"/>
      <c r="F437" s="66"/>
    </row>
    <row r="438">
      <c r="A438" s="84"/>
      <c r="B438" s="85"/>
      <c r="C438" s="86"/>
      <c r="F438" s="66"/>
    </row>
    <row r="439">
      <c r="A439" s="84"/>
      <c r="B439" s="85"/>
      <c r="C439" s="86"/>
      <c r="F439" s="66"/>
    </row>
    <row r="440">
      <c r="A440" s="84"/>
      <c r="B440" s="85"/>
      <c r="C440" s="86"/>
      <c r="F440" s="66"/>
    </row>
    <row r="441">
      <c r="A441" s="84"/>
      <c r="B441" s="85"/>
      <c r="C441" s="86"/>
      <c r="F441" s="66"/>
    </row>
    <row r="442">
      <c r="A442" s="84"/>
      <c r="B442" s="85"/>
      <c r="C442" s="86"/>
      <c r="F442" s="66"/>
    </row>
    <row r="443">
      <c r="A443" s="84"/>
      <c r="B443" s="85"/>
      <c r="C443" s="86"/>
      <c r="F443" s="66"/>
    </row>
    <row r="444">
      <c r="A444" s="84"/>
      <c r="B444" s="85"/>
      <c r="C444" s="86"/>
      <c r="F444" s="66"/>
    </row>
    <row r="445">
      <c r="A445" s="84"/>
      <c r="B445" s="85"/>
      <c r="C445" s="86"/>
      <c r="F445" s="66"/>
    </row>
    <row r="446">
      <c r="A446" s="84"/>
      <c r="B446" s="85"/>
      <c r="C446" s="86"/>
      <c r="F446" s="66"/>
    </row>
    <row r="447">
      <c r="A447" s="84"/>
      <c r="B447" s="85"/>
      <c r="C447" s="86"/>
      <c r="F447" s="66"/>
    </row>
    <row r="448">
      <c r="A448" s="84"/>
      <c r="B448" s="85"/>
      <c r="C448" s="86"/>
      <c r="F448" s="66"/>
    </row>
    <row r="449">
      <c r="A449" s="84"/>
      <c r="B449" s="85"/>
      <c r="C449" s="86"/>
      <c r="F449" s="66"/>
    </row>
    <row r="450">
      <c r="A450" s="84"/>
      <c r="B450" s="85"/>
      <c r="C450" s="86"/>
      <c r="F450" s="66"/>
    </row>
    <row r="451">
      <c r="A451" s="84"/>
      <c r="B451" s="85"/>
      <c r="C451" s="86"/>
      <c r="F451" s="66"/>
    </row>
    <row r="452">
      <c r="A452" s="84"/>
      <c r="B452" s="85"/>
      <c r="C452" s="86"/>
      <c r="F452" s="66"/>
    </row>
    <row r="453">
      <c r="A453" s="84"/>
      <c r="B453" s="85"/>
      <c r="C453" s="86"/>
      <c r="F453" s="66"/>
    </row>
    <row r="454">
      <c r="A454" s="84"/>
      <c r="B454" s="85"/>
      <c r="C454" s="86"/>
      <c r="F454" s="66"/>
    </row>
    <row r="455">
      <c r="A455" s="84"/>
      <c r="B455" s="85"/>
      <c r="C455" s="86"/>
      <c r="F455" s="66"/>
    </row>
    <row r="456">
      <c r="A456" s="84"/>
      <c r="B456" s="85"/>
      <c r="C456" s="86"/>
      <c r="F456" s="66"/>
    </row>
    <row r="457">
      <c r="A457" s="84"/>
      <c r="B457" s="85"/>
      <c r="C457" s="86"/>
      <c r="F457" s="66"/>
    </row>
    <row r="458">
      <c r="A458" s="84"/>
      <c r="B458" s="85"/>
      <c r="C458" s="86"/>
      <c r="F458" s="66"/>
    </row>
    <row r="459">
      <c r="A459" s="84"/>
      <c r="B459" s="85"/>
      <c r="C459" s="86"/>
      <c r="F459" s="66"/>
    </row>
    <row r="460">
      <c r="A460" s="84"/>
      <c r="B460" s="85"/>
      <c r="C460" s="86"/>
      <c r="F460" s="66"/>
    </row>
    <row r="461">
      <c r="A461" s="84"/>
      <c r="B461" s="85"/>
      <c r="C461" s="86"/>
      <c r="F461" s="66"/>
    </row>
    <row r="462">
      <c r="A462" s="84"/>
      <c r="B462" s="85"/>
      <c r="C462" s="86"/>
      <c r="F462" s="66"/>
    </row>
    <row r="463">
      <c r="A463" s="84"/>
      <c r="B463" s="85"/>
      <c r="C463" s="86"/>
      <c r="F463" s="66"/>
    </row>
    <row r="464">
      <c r="A464" s="84"/>
      <c r="B464" s="85"/>
      <c r="C464" s="86"/>
      <c r="F464" s="66"/>
    </row>
    <row r="465">
      <c r="A465" s="84"/>
      <c r="B465" s="85"/>
      <c r="C465" s="86"/>
      <c r="F465" s="66"/>
    </row>
    <row r="466">
      <c r="A466" s="84"/>
      <c r="B466" s="85"/>
      <c r="C466" s="86"/>
      <c r="F466" s="66"/>
    </row>
    <row r="467">
      <c r="A467" s="84"/>
      <c r="B467" s="85"/>
      <c r="C467" s="86"/>
      <c r="F467" s="66"/>
    </row>
    <row r="468">
      <c r="A468" s="84"/>
      <c r="B468" s="85"/>
      <c r="C468" s="86"/>
      <c r="F468" s="66"/>
    </row>
    <row r="469">
      <c r="A469" s="84"/>
      <c r="B469" s="85"/>
      <c r="C469" s="86"/>
      <c r="F469" s="66"/>
    </row>
    <row r="470">
      <c r="A470" s="84"/>
      <c r="B470" s="85"/>
      <c r="C470" s="86"/>
      <c r="F470" s="66"/>
    </row>
    <row r="471">
      <c r="A471" s="84"/>
      <c r="B471" s="85"/>
      <c r="C471" s="86"/>
      <c r="F471" s="66"/>
    </row>
    <row r="472">
      <c r="A472" s="84"/>
      <c r="B472" s="85"/>
      <c r="C472" s="86"/>
      <c r="F472" s="66"/>
    </row>
    <row r="473">
      <c r="A473" s="84"/>
      <c r="B473" s="85"/>
      <c r="C473" s="86"/>
      <c r="F473" s="66"/>
    </row>
    <row r="474">
      <c r="A474" s="84"/>
      <c r="B474" s="85"/>
      <c r="C474" s="86"/>
      <c r="F474" s="66"/>
    </row>
    <row r="475">
      <c r="A475" s="84"/>
      <c r="B475" s="85"/>
      <c r="C475" s="86"/>
      <c r="F475" s="66"/>
    </row>
    <row r="476">
      <c r="A476" s="84"/>
      <c r="B476" s="85"/>
      <c r="C476" s="86"/>
      <c r="F476" s="66"/>
    </row>
    <row r="477">
      <c r="A477" s="84"/>
      <c r="B477" s="85"/>
      <c r="C477" s="86"/>
      <c r="F477" s="66"/>
    </row>
    <row r="478">
      <c r="A478" s="84"/>
      <c r="B478" s="85"/>
      <c r="C478" s="86"/>
      <c r="F478" s="66"/>
    </row>
    <row r="479">
      <c r="A479" s="84"/>
      <c r="B479" s="85"/>
      <c r="C479" s="86"/>
      <c r="F479" s="66"/>
    </row>
    <row r="480">
      <c r="A480" s="84"/>
      <c r="B480" s="85"/>
      <c r="C480" s="86"/>
      <c r="F480" s="66"/>
    </row>
    <row r="481">
      <c r="A481" s="84"/>
      <c r="B481" s="85"/>
      <c r="C481" s="86"/>
      <c r="F481" s="66"/>
    </row>
    <row r="482">
      <c r="A482" s="84"/>
      <c r="B482" s="85"/>
      <c r="C482" s="86"/>
      <c r="F482" s="66"/>
    </row>
    <row r="483">
      <c r="A483" s="84"/>
      <c r="B483" s="85"/>
      <c r="C483" s="86"/>
      <c r="F483" s="66"/>
    </row>
    <row r="484">
      <c r="A484" s="84"/>
      <c r="B484" s="85"/>
      <c r="C484" s="86"/>
      <c r="F484" s="66"/>
    </row>
    <row r="485">
      <c r="A485" s="84"/>
      <c r="B485" s="85"/>
      <c r="C485" s="86"/>
      <c r="F485" s="66"/>
    </row>
    <row r="486">
      <c r="A486" s="84"/>
      <c r="B486" s="85"/>
      <c r="C486" s="86"/>
      <c r="F486" s="66"/>
    </row>
    <row r="487">
      <c r="A487" s="84"/>
      <c r="B487" s="85"/>
      <c r="C487" s="86"/>
      <c r="F487" s="66"/>
    </row>
    <row r="488">
      <c r="A488" s="84"/>
      <c r="B488" s="85"/>
      <c r="C488" s="86"/>
      <c r="F488" s="66"/>
    </row>
    <row r="489">
      <c r="A489" s="84"/>
      <c r="B489" s="85"/>
      <c r="C489" s="86"/>
      <c r="F489" s="66"/>
    </row>
    <row r="490">
      <c r="A490" s="84"/>
      <c r="B490" s="85"/>
      <c r="C490" s="86"/>
      <c r="F490" s="66"/>
    </row>
    <row r="491">
      <c r="A491" s="84"/>
      <c r="B491" s="85"/>
      <c r="C491" s="86"/>
      <c r="F491" s="66"/>
    </row>
    <row r="492">
      <c r="A492" s="84"/>
      <c r="B492" s="85"/>
      <c r="C492" s="86"/>
      <c r="F492" s="66"/>
    </row>
    <row r="493">
      <c r="A493" s="84"/>
      <c r="B493" s="85"/>
      <c r="C493" s="86"/>
      <c r="F493" s="66"/>
    </row>
    <row r="494">
      <c r="A494" s="84"/>
      <c r="B494" s="85"/>
      <c r="C494" s="86"/>
      <c r="F494" s="66"/>
    </row>
    <row r="495">
      <c r="A495" s="84"/>
      <c r="B495" s="85"/>
      <c r="C495" s="86"/>
      <c r="F495" s="66"/>
    </row>
    <row r="496">
      <c r="A496" s="84"/>
      <c r="B496" s="85"/>
      <c r="C496" s="86"/>
      <c r="F496" s="66"/>
    </row>
    <row r="497">
      <c r="A497" s="84"/>
      <c r="B497" s="85"/>
      <c r="C497" s="86"/>
      <c r="F497" s="66"/>
    </row>
    <row r="498">
      <c r="A498" s="84"/>
      <c r="B498" s="85"/>
      <c r="C498" s="86"/>
      <c r="F498" s="66"/>
    </row>
    <row r="499">
      <c r="A499" s="84"/>
      <c r="B499" s="85"/>
      <c r="C499" s="86"/>
      <c r="F499" s="66"/>
    </row>
    <row r="500">
      <c r="A500" s="84"/>
      <c r="B500" s="85"/>
      <c r="C500" s="86"/>
      <c r="F500" s="66"/>
    </row>
    <row r="501">
      <c r="A501" s="84"/>
      <c r="B501" s="85"/>
      <c r="C501" s="86"/>
      <c r="F501" s="66"/>
    </row>
    <row r="502">
      <c r="A502" s="84"/>
      <c r="B502" s="85"/>
      <c r="C502" s="86"/>
      <c r="F502" s="66"/>
    </row>
    <row r="503">
      <c r="A503" s="84"/>
      <c r="B503" s="85"/>
      <c r="C503" s="86"/>
      <c r="F503" s="66"/>
    </row>
    <row r="504">
      <c r="A504" s="84"/>
      <c r="B504" s="85"/>
      <c r="C504" s="86"/>
      <c r="F504" s="66"/>
    </row>
    <row r="505">
      <c r="A505" s="84"/>
      <c r="B505" s="85"/>
      <c r="C505" s="86"/>
      <c r="F505" s="66"/>
    </row>
    <row r="506">
      <c r="A506" s="84"/>
      <c r="B506" s="85"/>
      <c r="C506" s="86"/>
      <c r="F506" s="66"/>
    </row>
    <row r="507">
      <c r="A507" s="84"/>
      <c r="B507" s="85"/>
      <c r="C507" s="86"/>
      <c r="F507" s="66"/>
    </row>
    <row r="508">
      <c r="A508" s="84"/>
      <c r="B508" s="85"/>
      <c r="C508" s="86"/>
      <c r="F508" s="66"/>
    </row>
    <row r="509">
      <c r="A509" s="84"/>
      <c r="B509" s="85"/>
      <c r="C509" s="86"/>
      <c r="F509" s="66"/>
    </row>
    <row r="510">
      <c r="A510" s="84"/>
      <c r="B510" s="85"/>
      <c r="C510" s="86"/>
      <c r="F510" s="66"/>
    </row>
    <row r="511">
      <c r="A511" s="84"/>
      <c r="B511" s="85"/>
      <c r="C511" s="86"/>
      <c r="F511" s="66"/>
    </row>
    <row r="512">
      <c r="A512" s="84"/>
      <c r="B512" s="85"/>
      <c r="C512" s="86"/>
      <c r="F512" s="66"/>
    </row>
    <row r="513">
      <c r="A513" s="84"/>
      <c r="B513" s="85"/>
      <c r="C513" s="86"/>
      <c r="F513" s="66"/>
    </row>
    <row r="514">
      <c r="A514" s="84"/>
      <c r="B514" s="85"/>
      <c r="C514" s="86"/>
      <c r="F514" s="66"/>
    </row>
    <row r="515">
      <c r="A515" s="84"/>
      <c r="B515" s="85"/>
      <c r="C515" s="86"/>
      <c r="F515" s="66"/>
    </row>
    <row r="516">
      <c r="A516" s="84"/>
      <c r="B516" s="85"/>
      <c r="C516" s="86"/>
      <c r="F516" s="66"/>
    </row>
    <row r="517">
      <c r="A517" s="84"/>
      <c r="B517" s="85"/>
      <c r="C517" s="86"/>
      <c r="F517" s="66"/>
    </row>
    <row r="518">
      <c r="A518" s="84"/>
      <c r="B518" s="85"/>
      <c r="C518" s="86"/>
      <c r="F518" s="66"/>
    </row>
    <row r="519">
      <c r="A519" s="84"/>
      <c r="B519" s="85"/>
      <c r="C519" s="86"/>
      <c r="F519" s="66"/>
    </row>
    <row r="520">
      <c r="A520" s="84"/>
      <c r="B520" s="85"/>
      <c r="C520" s="86"/>
      <c r="F520" s="66"/>
    </row>
    <row r="521">
      <c r="A521" s="84"/>
      <c r="B521" s="85"/>
      <c r="C521" s="86"/>
      <c r="F521" s="66"/>
    </row>
    <row r="522">
      <c r="A522" s="84"/>
      <c r="B522" s="85"/>
      <c r="C522" s="86"/>
      <c r="F522" s="66"/>
    </row>
    <row r="523">
      <c r="A523" s="84"/>
      <c r="B523" s="85"/>
      <c r="C523" s="86"/>
      <c r="F523" s="66"/>
    </row>
    <row r="524">
      <c r="A524" s="84"/>
      <c r="B524" s="85"/>
      <c r="C524" s="86"/>
      <c r="F524" s="66"/>
    </row>
    <row r="525">
      <c r="A525" s="84"/>
      <c r="B525" s="85"/>
      <c r="C525" s="86"/>
      <c r="F525" s="66"/>
    </row>
    <row r="526">
      <c r="A526" s="84"/>
      <c r="B526" s="85"/>
      <c r="C526" s="86"/>
      <c r="F526" s="66"/>
    </row>
    <row r="527">
      <c r="A527" s="84"/>
      <c r="B527" s="85"/>
      <c r="C527" s="86"/>
      <c r="F527" s="66"/>
    </row>
    <row r="528">
      <c r="A528" s="84"/>
      <c r="B528" s="85"/>
      <c r="C528" s="86"/>
      <c r="F528" s="66"/>
    </row>
    <row r="529">
      <c r="A529" s="84"/>
      <c r="B529" s="85"/>
      <c r="C529" s="86"/>
      <c r="F529" s="66"/>
    </row>
    <row r="530">
      <c r="A530" s="84"/>
      <c r="B530" s="85"/>
      <c r="C530" s="86"/>
      <c r="F530" s="66"/>
    </row>
    <row r="531">
      <c r="A531" s="84"/>
      <c r="B531" s="85"/>
      <c r="C531" s="86"/>
      <c r="F531" s="66"/>
    </row>
    <row r="532">
      <c r="A532" s="84"/>
      <c r="B532" s="85"/>
      <c r="C532" s="86"/>
      <c r="F532" s="66"/>
    </row>
    <row r="533">
      <c r="A533" s="84"/>
      <c r="B533" s="85"/>
      <c r="C533" s="86"/>
      <c r="F533" s="66"/>
    </row>
    <row r="534">
      <c r="A534" s="84"/>
      <c r="B534" s="85"/>
      <c r="C534" s="86"/>
      <c r="F534" s="66"/>
    </row>
    <row r="535">
      <c r="A535" s="84"/>
      <c r="B535" s="85"/>
      <c r="C535" s="86"/>
      <c r="F535" s="66"/>
    </row>
    <row r="536">
      <c r="A536" s="84"/>
      <c r="B536" s="85"/>
      <c r="C536" s="86"/>
      <c r="F536" s="66"/>
    </row>
    <row r="537">
      <c r="A537" s="84"/>
      <c r="B537" s="85"/>
      <c r="C537" s="86"/>
      <c r="F537" s="66"/>
    </row>
    <row r="538">
      <c r="A538" s="84"/>
      <c r="B538" s="85"/>
      <c r="C538" s="86"/>
      <c r="F538" s="66"/>
    </row>
    <row r="539">
      <c r="A539" s="84"/>
      <c r="B539" s="85"/>
      <c r="C539" s="86"/>
      <c r="F539" s="66"/>
    </row>
    <row r="540">
      <c r="A540" s="84"/>
      <c r="B540" s="85"/>
      <c r="C540" s="86"/>
      <c r="F540" s="66"/>
    </row>
    <row r="541">
      <c r="A541" s="84"/>
      <c r="B541" s="85"/>
      <c r="C541" s="86"/>
      <c r="F541" s="66"/>
    </row>
    <row r="542">
      <c r="A542" s="84"/>
      <c r="B542" s="85"/>
      <c r="C542" s="86"/>
      <c r="F542" s="66"/>
    </row>
    <row r="543">
      <c r="A543" s="84"/>
      <c r="B543" s="85"/>
      <c r="C543" s="86"/>
      <c r="F543" s="66"/>
    </row>
    <row r="544">
      <c r="A544" s="84"/>
      <c r="B544" s="85"/>
      <c r="C544" s="86"/>
      <c r="F544" s="66"/>
    </row>
    <row r="545">
      <c r="A545" s="84"/>
      <c r="B545" s="85"/>
      <c r="C545" s="86"/>
      <c r="F545" s="66"/>
    </row>
    <row r="546">
      <c r="A546" s="84"/>
      <c r="B546" s="85"/>
      <c r="C546" s="86"/>
      <c r="F546" s="66"/>
    </row>
    <row r="547">
      <c r="A547" s="84"/>
      <c r="B547" s="85"/>
      <c r="C547" s="86"/>
      <c r="F547" s="66"/>
    </row>
    <row r="548">
      <c r="A548" s="84"/>
      <c r="B548" s="85"/>
      <c r="C548" s="86"/>
      <c r="F548" s="66"/>
    </row>
    <row r="549">
      <c r="A549" s="84"/>
      <c r="B549" s="85"/>
      <c r="C549" s="86"/>
      <c r="F549" s="66"/>
    </row>
    <row r="550">
      <c r="A550" s="84"/>
      <c r="B550" s="85"/>
      <c r="C550" s="86"/>
      <c r="F550" s="66"/>
    </row>
    <row r="551">
      <c r="A551" s="84"/>
      <c r="B551" s="85"/>
      <c r="C551" s="86"/>
      <c r="F551" s="66"/>
    </row>
    <row r="552">
      <c r="A552" s="84"/>
      <c r="B552" s="85"/>
      <c r="C552" s="86"/>
      <c r="F552" s="66"/>
    </row>
    <row r="553">
      <c r="A553" s="84"/>
      <c r="B553" s="85"/>
      <c r="C553" s="86"/>
      <c r="F553" s="66"/>
    </row>
    <row r="554">
      <c r="A554" s="84"/>
      <c r="B554" s="85"/>
      <c r="C554" s="86"/>
      <c r="F554" s="66"/>
    </row>
    <row r="555">
      <c r="A555" s="84"/>
      <c r="B555" s="85"/>
      <c r="C555" s="86"/>
      <c r="F555" s="66"/>
    </row>
    <row r="556">
      <c r="A556" s="84"/>
      <c r="B556" s="85"/>
      <c r="C556" s="86"/>
      <c r="F556" s="66"/>
    </row>
    <row r="557">
      <c r="A557" s="84"/>
      <c r="B557" s="85"/>
      <c r="C557" s="86"/>
      <c r="F557" s="66"/>
    </row>
    <row r="558">
      <c r="A558" s="84"/>
      <c r="B558" s="85"/>
      <c r="C558" s="86"/>
      <c r="F558" s="66"/>
    </row>
    <row r="559">
      <c r="A559" s="84"/>
      <c r="B559" s="85"/>
      <c r="C559" s="86"/>
      <c r="F559" s="66"/>
    </row>
    <row r="560">
      <c r="A560" s="84"/>
      <c r="B560" s="85"/>
      <c r="C560" s="86"/>
      <c r="F560" s="66"/>
    </row>
    <row r="561">
      <c r="A561" s="84"/>
      <c r="B561" s="85"/>
      <c r="C561" s="86"/>
      <c r="F561" s="66"/>
    </row>
    <row r="562">
      <c r="A562" s="84"/>
      <c r="B562" s="85"/>
      <c r="C562" s="86"/>
      <c r="F562" s="66"/>
    </row>
    <row r="563">
      <c r="A563" s="84"/>
      <c r="B563" s="85"/>
      <c r="C563" s="86"/>
      <c r="F563" s="66"/>
    </row>
    <row r="564">
      <c r="A564" s="84"/>
      <c r="B564" s="85"/>
      <c r="C564" s="86"/>
      <c r="F564" s="66"/>
    </row>
    <row r="565">
      <c r="A565" s="84"/>
      <c r="B565" s="85"/>
      <c r="C565" s="86"/>
      <c r="F565" s="66"/>
    </row>
    <row r="566">
      <c r="A566" s="84"/>
      <c r="B566" s="85"/>
      <c r="C566" s="86"/>
      <c r="F566" s="66"/>
    </row>
    <row r="567">
      <c r="A567" s="84"/>
      <c r="B567" s="85"/>
      <c r="C567" s="86"/>
      <c r="F567" s="66"/>
    </row>
    <row r="568">
      <c r="A568" s="84"/>
      <c r="B568" s="85"/>
      <c r="C568" s="86"/>
      <c r="F568" s="66"/>
    </row>
    <row r="569">
      <c r="A569" s="84"/>
      <c r="B569" s="85"/>
      <c r="C569" s="86"/>
      <c r="F569" s="66"/>
    </row>
    <row r="570">
      <c r="A570" s="84"/>
      <c r="B570" s="85"/>
      <c r="C570" s="86"/>
      <c r="F570" s="66"/>
    </row>
    <row r="571">
      <c r="A571" s="84"/>
      <c r="B571" s="85"/>
      <c r="C571" s="86"/>
      <c r="F571" s="66"/>
    </row>
    <row r="572">
      <c r="A572" s="84"/>
      <c r="B572" s="85"/>
      <c r="C572" s="86"/>
      <c r="F572" s="66"/>
    </row>
    <row r="573">
      <c r="A573" s="84"/>
      <c r="B573" s="85"/>
      <c r="C573" s="86"/>
      <c r="F573" s="66"/>
    </row>
    <row r="574">
      <c r="A574" s="84"/>
      <c r="B574" s="85"/>
      <c r="C574" s="86"/>
      <c r="F574" s="66"/>
    </row>
    <row r="575">
      <c r="A575" s="84"/>
      <c r="B575" s="85"/>
      <c r="C575" s="86"/>
      <c r="F575" s="66"/>
    </row>
    <row r="576">
      <c r="A576" s="84"/>
      <c r="B576" s="85"/>
      <c r="C576" s="86"/>
      <c r="F576" s="66"/>
    </row>
    <row r="577">
      <c r="A577" s="84"/>
      <c r="B577" s="85"/>
      <c r="C577" s="86"/>
      <c r="F577" s="66"/>
    </row>
    <row r="578">
      <c r="A578" s="84"/>
      <c r="B578" s="85"/>
      <c r="C578" s="86"/>
      <c r="F578" s="66"/>
    </row>
    <row r="579">
      <c r="A579" s="84"/>
      <c r="B579" s="85"/>
      <c r="C579" s="86"/>
      <c r="F579" s="66"/>
    </row>
    <row r="580">
      <c r="A580" s="84"/>
      <c r="B580" s="85"/>
      <c r="C580" s="86"/>
      <c r="F580" s="66"/>
    </row>
    <row r="581">
      <c r="A581" s="84"/>
      <c r="B581" s="85"/>
      <c r="C581" s="86"/>
      <c r="F581" s="66"/>
    </row>
    <row r="582">
      <c r="A582" s="84"/>
      <c r="B582" s="85"/>
      <c r="C582" s="86"/>
      <c r="F582" s="66"/>
    </row>
    <row r="583">
      <c r="A583" s="84"/>
      <c r="B583" s="85"/>
      <c r="C583" s="86"/>
      <c r="F583" s="66"/>
    </row>
    <row r="584">
      <c r="A584" s="84"/>
      <c r="B584" s="85"/>
      <c r="C584" s="86"/>
      <c r="F584" s="66"/>
    </row>
    <row r="585">
      <c r="A585" s="84"/>
      <c r="B585" s="85"/>
      <c r="C585" s="86"/>
      <c r="F585" s="66"/>
    </row>
    <row r="586">
      <c r="A586" s="84"/>
      <c r="B586" s="85"/>
      <c r="C586" s="86"/>
      <c r="F586" s="66"/>
    </row>
    <row r="587">
      <c r="A587" s="84"/>
      <c r="B587" s="85"/>
      <c r="C587" s="86"/>
      <c r="F587" s="66"/>
    </row>
    <row r="588">
      <c r="A588" s="84"/>
      <c r="B588" s="85"/>
      <c r="C588" s="86"/>
      <c r="F588" s="66"/>
    </row>
    <row r="589">
      <c r="A589" s="84"/>
      <c r="B589" s="85"/>
      <c r="C589" s="86"/>
      <c r="F589" s="66"/>
    </row>
    <row r="590">
      <c r="A590" s="84"/>
      <c r="B590" s="85"/>
      <c r="C590" s="86"/>
      <c r="F590" s="66"/>
    </row>
    <row r="591">
      <c r="A591" s="84"/>
      <c r="B591" s="85"/>
      <c r="C591" s="86"/>
      <c r="F591" s="66"/>
    </row>
    <row r="592">
      <c r="A592" s="84"/>
      <c r="B592" s="85"/>
      <c r="C592" s="86"/>
      <c r="F592" s="66"/>
    </row>
    <row r="593">
      <c r="A593" s="84"/>
      <c r="B593" s="85"/>
      <c r="C593" s="86"/>
      <c r="F593" s="66"/>
    </row>
    <row r="594">
      <c r="A594" s="84"/>
      <c r="B594" s="85"/>
      <c r="C594" s="86"/>
      <c r="F594" s="66"/>
    </row>
    <row r="595">
      <c r="A595" s="84"/>
      <c r="B595" s="85"/>
      <c r="C595" s="86"/>
      <c r="F595" s="66"/>
    </row>
    <row r="596">
      <c r="A596" s="84"/>
      <c r="B596" s="85"/>
      <c r="C596" s="86"/>
      <c r="F596" s="66"/>
    </row>
    <row r="597">
      <c r="A597" s="84"/>
      <c r="B597" s="85"/>
      <c r="C597" s="86"/>
      <c r="F597" s="66"/>
    </row>
    <row r="598">
      <c r="A598" s="84"/>
      <c r="B598" s="85"/>
      <c r="C598" s="86"/>
      <c r="F598" s="66"/>
    </row>
    <row r="599">
      <c r="A599" s="84"/>
      <c r="B599" s="85"/>
      <c r="C599" s="86"/>
      <c r="F599" s="66"/>
    </row>
    <row r="600">
      <c r="A600" s="84"/>
      <c r="B600" s="85"/>
      <c r="C600" s="86"/>
      <c r="F600" s="66"/>
    </row>
    <row r="601">
      <c r="A601" s="84"/>
      <c r="B601" s="85"/>
      <c r="C601" s="86"/>
      <c r="F601" s="66"/>
    </row>
    <row r="602">
      <c r="A602" s="84"/>
      <c r="B602" s="85"/>
      <c r="C602" s="86"/>
      <c r="F602" s="66"/>
    </row>
    <row r="603">
      <c r="A603" s="84"/>
      <c r="B603" s="85"/>
      <c r="C603" s="86"/>
      <c r="F603" s="66"/>
    </row>
    <row r="604">
      <c r="A604" s="84"/>
      <c r="B604" s="85"/>
      <c r="C604" s="86"/>
      <c r="F604" s="66"/>
    </row>
    <row r="605">
      <c r="A605" s="84"/>
      <c r="B605" s="85"/>
      <c r="C605" s="86"/>
      <c r="F605" s="66"/>
    </row>
    <row r="606">
      <c r="A606" s="84"/>
      <c r="B606" s="85"/>
      <c r="C606" s="86"/>
      <c r="F606" s="66"/>
    </row>
    <row r="607">
      <c r="A607" s="84"/>
      <c r="B607" s="85"/>
      <c r="C607" s="86"/>
      <c r="F607" s="66"/>
    </row>
    <row r="608">
      <c r="A608" s="84"/>
      <c r="B608" s="85"/>
      <c r="C608" s="86"/>
      <c r="F608" s="66"/>
    </row>
    <row r="609">
      <c r="A609" s="84"/>
      <c r="B609" s="85"/>
      <c r="C609" s="86"/>
      <c r="F609" s="66"/>
    </row>
    <row r="610">
      <c r="A610" s="84"/>
      <c r="B610" s="85"/>
      <c r="C610" s="86"/>
      <c r="F610" s="66"/>
    </row>
    <row r="611">
      <c r="A611" s="84"/>
      <c r="B611" s="85"/>
      <c r="C611" s="86"/>
      <c r="F611" s="66"/>
    </row>
    <row r="612">
      <c r="A612" s="84"/>
      <c r="B612" s="85"/>
      <c r="C612" s="86"/>
      <c r="F612" s="66"/>
    </row>
    <row r="613">
      <c r="A613" s="84"/>
      <c r="B613" s="85"/>
      <c r="C613" s="86"/>
      <c r="F613" s="66"/>
    </row>
    <row r="614">
      <c r="A614" s="84"/>
      <c r="B614" s="85"/>
      <c r="C614" s="86"/>
      <c r="F614" s="66"/>
    </row>
    <row r="615">
      <c r="A615" s="84"/>
      <c r="B615" s="85"/>
      <c r="C615" s="86"/>
      <c r="F615" s="66"/>
    </row>
    <row r="616">
      <c r="A616" s="84"/>
      <c r="B616" s="85"/>
      <c r="C616" s="86"/>
      <c r="F616" s="66"/>
    </row>
    <row r="617">
      <c r="A617" s="84"/>
      <c r="B617" s="85"/>
      <c r="C617" s="86"/>
      <c r="F617" s="66"/>
    </row>
    <row r="618">
      <c r="A618" s="84"/>
      <c r="B618" s="85"/>
      <c r="C618" s="86"/>
      <c r="F618" s="66"/>
    </row>
    <row r="619">
      <c r="A619" s="84"/>
      <c r="B619" s="85"/>
      <c r="C619" s="86"/>
      <c r="F619" s="66"/>
    </row>
    <row r="620">
      <c r="A620" s="84"/>
      <c r="B620" s="85"/>
      <c r="C620" s="86"/>
      <c r="F620" s="66"/>
    </row>
    <row r="621">
      <c r="A621" s="84"/>
      <c r="B621" s="85"/>
      <c r="C621" s="86"/>
      <c r="F621" s="66"/>
    </row>
    <row r="622">
      <c r="A622" s="84"/>
      <c r="B622" s="85"/>
      <c r="C622" s="86"/>
      <c r="F622" s="66"/>
    </row>
    <row r="623">
      <c r="A623" s="84"/>
      <c r="B623" s="85"/>
      <c r="C623" s="86"/>
      <c r="F623" s="66"/>
    </row>
    <row r="624">
      <c r="A624" s="84"/>
      <c r="B624" s="85"/>
      <c r="C624" s="86"/>
      <c r="F624" s="66"/>
    </row>
    <row r="625">
      <c r="A625" s="84"/>
      <c r="B625" s="85"/>
      <c r="C625" s="86"/>
      <c r="F625" s="66"/>
    </row>
    <row r="626">
      <c r="A626" s="84"/>
      <c r="B626" s="85"/>
      <c r="C626" s="86"/>
      <c r="F626" s="66"/>
    </row>
    <row r="627">
      <c r="A627" s="84"/>
      <c r="B627" s="85"/>
      <c r="C627" s="86"/>
      <c r="F627" s="66"/>
    </row>
    <row r="628">
      <c r="A628" s="84"/>
      <c r="B628" s="85"/>
      <c r="C628" s="86"/>
      <c r="F628" s="66"/>
    </row>
    <row r="629">
      <c r="A629" s="84"/>
      <c r="B629" s="85"/>
      <c r="C629" s="86"/>
      <c r="F629" s="66"/>
    </row>
    <row r="630">
      <c r="A630" s="84"/>
      <c r="B630" s="85"/>
      <c r="C630" s="86"/>
      <c r="F630" s="66"/>
    </row>
    <row r="631">
      <c r="A631" s="84"/>
      <c r="B631" s="85"/>
      <c r="C631" s="86"/>
      <c r="F631" s="66"/>
    </row>
    <row r="632">
      <c r="A632" s="84"/>
      <c r="B632" s="85"/>
      <c r="C632" s="86"/>
      <c r="F632" s="66"/>
    </row>
    <row r="633">
      <c r="A633" s="84"/>
      <c r="B633" s="85"/>
      <c r="C633" s="86"/>
      <c r="F633" s="66"/>
    </row>
    <row r="634">
      <c r="A634" s="84"/>
      <c r="B634" s="85"/>
      <c r="C634" s="86"/>
      <c r="F634" s="66"/>
    </row>
    <row r="635">
      <c r="A635" s="84"/>
      <c r="B635" s="85"/>
      <c r="C635" s="86"/>
      <c r="F635" s="66"/>
    </row>
    <row r="636">
      <c r="A636" s="84"/>
      <c r="B636" s="85"/>
      <c r="C636" s="86"/>
      <c r="F636" s="66"/>
    </row>
    <row r="637">
      <c r="A637" s="84"/>
      <c r="B637" s="85"/>
      <c r="C637" s="86"/>
      <c r="F637" s="66"/>
    </row>
    <row r="638">
      <c r="A638" s="84"/>
      <c r="B638" s="85"/>
      <c r="C638" s="86"/>
      <c r="F638" s="66"/>
    </row>
    <row r="639">
      <c r="A639" s="84"/>
      <c r="B639" s="85"/>
      <c r="C639" s="86"/>
      <c r="F639" s="66"/>
    </row>
    <row r="640">
      <c r="A640" s="84"/>
      <c r="B640" s="85"/>
      <c r="C640" s="86"/>
      <c r="F640" s="66"/>
    </row>
    <row r="641">
      <c r="A641" s="84"/>
      <c r="B641" s="85"/>
      <c r="C641" s="86"/>
      <c r="F641" s="66"/>
    </row>
    <row r="642">
      <c r="A642" s="84"/>
      <c r="B642" s="85"/>
      <c r="C642" s="86"/>
      <c r="F642" s="66"/>
    </row>
    <row r="643">
      <c r="A643" s="84"/>
      <c r="B643" s="85"/>
      <c r="C643" s="86"/>
      <c r="F643" s="66"/>
    </row>
    <row r="644">
      <c r="A644" s="84"/>
      <c r="B644" s="85"/>
      <c r="C644" s="86"/>
      <c r="F644" s="66"/>
    </row>
    <row r="645">
      <c r="A645" s="84"/>
      <c r="B645" s="85"/>
      <c r="C645" s="86"/>
      <c r="F645" s="66"/>
    </row>
    <row r="646">
      <c r="A646" s="84"/>
      <c r="B646" s="85"/>
      <c r="C646" s="86"/>
      <c r="F646" s="66"/>
    </row>
    <row r="647">
      <c r="A647" s="84"/>
      <c r="B647" s="85"/>
      <c r="C647" s="86"/>
      <c r="F647" s="66"/>
    </row>
    <row r="648">
      <c r="A648" s="84"/>
      <c r="B648" s="85"/>
      <c r="C648" s="86"/>
      <c r="F648" s="66"/>
    </row>
    <row r="649">
      <c r="A649" s="84"/>
      <c r="B649" s="85"/>
      <c r="C649" s="86"/>
      <c r="F649" s="66"/>
    </row>
    <row r="650">
      <c r="A650" s="84"/>
      <c r="B650" s="85"/>
      <c r="C650" s="86"/>
      <c r="F650" s="66"/>
    </row>
    <row r="651">
      <c r="A651" s="84"/>
      <c r="B651" s="85"/>
      <c r="C651" s="86"/>
      <c r="F651" s="66"/>
    </row>
    <row r="652">
      <c r="A652" s="84"/>
      <c r="B652" s="85"/>
      <c r="C652" s="86"/>
      <c r="F652" s="66"/>
    </row>
    <row r="653">
      <c r="A653" s="84"/>
      <c r="B653" s="85"/>
      <c r="C653" s="86"/>
      <c r="F653" s="66"/>
    </row>
    <row r="654">
      <c r="A654" s="84"/>
      <c r="B654" s="85"/>
      <c r="C654" s="86"/>
      <c r="F654" s="66"/>
    </row>
    <row r="655">
      <c r="A655" s="84"/>
      <c r="B655" s="85"/>
      <c r="C655" s="86"/>
      <c r="F655" s="66"/>
    </row>
    <row r="656">
      <c r="A656" s="84"/>
      <c r="B656" s="85"/>
      <c r="C656" s="86"/>
      <c r="F656" s="66"/>
    </row>
    <row r="657">
      <c r="A657" s="84"/>
      <c r="B657" s="85"/>
      <c r="C657" s="86"/>
      <c r="F657" s="66"/>
    </row>
    <row r="658">
      <c r="A658" s="84"/>
      <c r="B658" s="85"/>
      <c r="C658" s="86"/>
      <c r="F658" s="66"/>
    </row>
    <row r="659">
      <c r="A659" s="84"/>
      <c r="B659" s="85"/>
      <c r="C659" s="86"/>
      <c r="F659" s="66"/>
    </row>
    <row r="660">
      <c r="A660" s="84"/>
      <c r="B660" s="85"/>
      <c r="C660" s="86"/>
      <c r="F660" s="66"/>
    </row>
    <row r="661">
      <c r="A661" s="84"/>
      <c r="B661" s="85"/>
      <c r="C661" s="86"/>
      <c r="F661" s="66"/>
    </row>
    <row r="662">
      <c r="A662" s="84"/>
      <c r="B662" s="85"/>
      <c r="C662" s="86"/>
      <c r="F662" s="66"/>
    </row>
    <row r="663">
      <c r="A663" s="84"/>
      <c r="B663" s="85"/>
      <c r="C663" s="86"/>
      <c r="F663" s="66"/>
    </row>
    <row r="664">
      <c r="A664" s="84"/>
      <c r="B664" s="85"/>
      <c r="C664" s="86"/>
      <c r="F664" s="66"/>
    </row>
    <row r="665">
      <c r="A665" s="84"/>
      <c r="B665" s="85"/>
      <c r="C665" s="86"/>
      <c r="F665" s="66"/>
    </row>
    <row r="666">
      <c r="A666" s="84"/>
      <c r="B666" s="85"/>
      <c r="C666" s="86"/>
      <c r="F666" s="66"/>
    </row>
    <row r="667">
      <c r="A667" s="84"/>
      <c r="B667" s="85"/>
      <c r="C667" s="86"/>
      <c r="F667" s="66"/>
    </row>
    <row r="668">
      <c r="A668" s="84"/>
      <c r="B668" s="85"/>
      <c r="C668" s="86"/>
      <c r="F668" s="66"/>
    </row>
    <row r="669">
      <c r="A669" s="84"/>
      <c r="B669" s="85"/>
      <c r="C669" s="86"/>
      <c r="F669" s="66"/>
    </row>
    <row r="670">
      <c r="A670" s="84"/>
      <c r="B670" s="85"/>
      <c r="C670" s="86"/>
      <c r="F670" s="66"/>
    </row>
    <row r="671">
      <c r="A671" s="84"/>
      <c r="B671" s="85"/>
      <c r="C671" s="86"/>
      <c r="F671" s="66"/>
    </row>
    <row r="672">
      <c r="A672" s="84"/>
      <c r="B672" s="85"/>
      <c r="C672" s="86"/>
      <c r="F672" s="66"/>
    </row>
    <row r="673">
      <c r="A673" s="84"/>
      <c r="B673" s="85"/>
      <c r="C673" s="86"/>
      <c r="F673" s="66"/>
    </row>
    <row r="674">
      <c r="A674" s="84"/>
      <c r="B674" s="85"/>
      <c r="C674" s="86"/>
      <c r="F674" s="66"/>
    </row>
    <row r="675">
      <c r="A675" s="84"/>
      <c r="B675" s="85"/>
      <c r="C675" s="86"/>
      <c r="F675" s="66"/>
    </row>
    <row r="676">
      <c r="A676" s="84"/>
      <c r="B676" s="85"/>
      <c r="C676" s="86"/>
      <c r="F676" s="66"/>
    </row>
    <row r="677">
      <c r="A677" s="84"/>
      <c r="B677" s="85"/>
      <c r="C677" s="86"/>
      <c r="F677" s="66"/>
    </row>
    <row r="678">
      <c r="A678" s="84"/>
      <c r="B678" s="85"/>
      <c r="C678" s="86"/>
      <c r="F678" s="66"/>
    </row>
    <row r="679">
      <c r="A679" s="84"/>
      <c r="B679" s="85"/>
      <c r="C679" s="86"/>
      <c r="F679" s="66"/>
    </row>
    <row r="680">
      <c r="A680" s="84"/>
      <c r="B680" s="85"/>
      <c r="C680" s="86"/>
      <c r="F680" s="66"/>
    </row>
    <row r="681">
      <c r="A681" s="84"/>
      <c r="B681" s="85"/>
      <c r="C681" s="86"/>
      <c r="F681" s="66"/>
    </row>
    <row r="682">
      <c r="A682" s="84"/>
      <c r="B682" s="85"/>
      <c r="C682" s="86"/>
      <c r="F682" s="66"/>
    </row>
    <row r="683">
      <c r="A683" s="84"/>
      <c r="B683" s="85"/>
      <c r="C683" s="86"/>
      <c r="F683" s="66"/>
    </row>
    <row r="684">
      <c r="A684" s="84"/>
      <c r="B684" s="85"/>
      <c r="C684" s="86"/>
      <c r="F684" s="66"/>
    </row>
    <row r="685">
      <c r="A685" s="84"/>
      <c r="B685" s="85"/>
      <c r="C685" s="86"/>
      <c r="F685" s="66"/>
    </row>
    <row r="686">
      <c r="A686" s="84"/>
      <c r="B686" s="85"/>
      <c r="C686" s="86"/>
      <c r="F686" s="66"/>
    </row>
    <row r="687">
      <c r="A687" s="84"/>
      <c r="B687" s="85"/>
      <c r="C687" s="86"/>
      <c r="F687" s="66"/>
    </row>
    <row r="688">
      <c r="A688" s="84"/>
      <c r="B688" s="85"/>
      <c r="C688" s="86"/>
      <c r="F688" s="66"/>
    </row>
    <row r="689">
      <c r="A689" s="84"/>
      <c r="B689" s="85"/>
      <c r="C689" s="86"/>
      <c r="F689" s="66"/>
    </row>
    <row r="690">
      <c r="A690" s="84"/>
      <c r="B690" s="85"/>
      <c r="C690" s="86"/>
      <c r="F690" s="66"/>
    </row>
    <row r="691">
      <c r="A691" s="84"/>
      <c r="B691" s="85"/>
      <c r="C691" s="86"/>
      <c r="F691" s="66"/>
    </row>
    <row r="692">
      <c r="A692" s="84"/>
      <c r="B692" s="85"/>
      <c r="C692" s="86"/>
      <c r="F692" s="66"/>
    </row>
    <row r="693">
      <c r="A693" s="84"/>
      <c r="B693" s="85"/>
      <c r="C693" s="86"/>
      <c r="F693" s="66"/>
    </row>
    <row r="694">
      <c r="A694" s="84"/>
      <c r="B694" s="85"/>
      <c r="C694" s="86"/>
      <c r="F694" s="66"/>
    </row>
    <row r="695">
      <c r="A695" s="84"/>
      <c r="B695" s="85"/>
      <c r="C695" s="86"/>
      <c r="F695" s="66"/>
    </row>
    <row r="696">
      <c r="A696" s="84"/>
      <c r="B696" s="85"/>
      <c r="C696" s="86"/>
      <c r="F696" s="66"/>
    </row>
    <row r="697">
      <c r="A697" s="84"/>
      <c r="B697" s="85"/>
      <c r="C697" s="86"/>
      <c r="F697" s="66"/>
    </row>
    <row r="698">
      <c r="A698" s="84"/>
      <c r="B698" s="85"/>
      <c r="C698" s="86"/>
      <c r="F698" s="66"/>
    </row>
    <row r="699">
      <c r="A699" s="84"/>
      <c r="B699" s="85"/>
      <c r="C699" s="86"/>
      <c r="F699" s="66"/>
    </row>
    <row r="700">
      <c r="A700" s="84"/>
      <c r="B700" s="85"/>
      <c r="C700" s="86"/>
      <c r="F700" s="66"/>
    </row>
    <row r="701">
      <c r="A701" s="84"/>
      <c r="B701" s="85"/>
      <c r="C701" s="86"/>
      <c r="F701" s="66"/>
    </row>
    <row r="702">
      <c r="A702" s="84"/>
      <c r="B702" s="85"/>
      <c r="C702" s="86"/>
      <c r="F702" s="66"/>
    </row>
    <row r="703">
      <c r="A703" s="84"/>
      <c r="B703" s="85"/>
      <c r="C703" s="86"/>
      <c r="F703" s="66"/>
    </row>
    <row r="704">
      <c r="A704" s="84"/>
      <c r="B704" s="85"/>
      <c r="C704" s="86"/>
      <c r="F704" s="66"/>
    </row>
    <row r="705">
      <c r="A705" s="84"/>
      <c r="B705" s="85"/>
      <c r="C705" s="86"/>
      <c r="F705" s="66"/>
    </row>
    <row r="706">
      <c r="A706" s="84"/>
      <c r="B706" s="85"/>
      <c r="C706" s="86"/>
      <c r="F706" s="66"/>
    </row>
    <row r="707">
      <c r="A707" s="84"/>
      <c r="B707" s="85"/>
      <c r="C707" s="86"/>
      <c r="F707" s="66"/>
    </row>
    <row r="708">
      <c r="A708" s="84"/>
      <c r="B708" s="85"/>
      <c r="C708" s="86"/>
      <c r="F708" s="66"/>
    </row>
    <row r="709">
      <c r="A709" s="84"/>
      <c r="B709" s="85"/>
      <c r="C709" s="86"/>
      <c r="F709" s="66"/>
    </row>
    <row r="710">
      <c r="A710" s="84"/>
      <c r="B710" s="85"/>
      <c r="C710" s="86"/>
      <c r="F710" s="66"/>
    </row>
    <row r="711">
      <c r="A711" s="84"/>
      <c r="B711" s="85"/>
      <c r="C711" s="86"/>
      <c r="F711" s="66"/>
    </row>
    <row r="712">
      <c r="A712" s="84"/>
      <c r="B712" s="85"/>
      <c r="C712" s="86"/>
      <c r="F712" s="66"/>
    </row>
    <row r="713">
      <c r="A713" s="84"/>
      <c r="B713" s="85"/>
      <c r="C713" s="86"/>
      <c r="F713" s="66"/>
    </row>
    <row r="714">
      <c r="A714" s="84"/>
      <c r="B714" s="85"/>
      <c r="C714" s="86"/>
      <c r="F714" s="66"/>
    </row>
    <row r="715">
      <c r="A715" s="84"/>
      <c r="B715" s="85"/>
      <c r="C715" s="86"/>
      <c r="F715" s="66"/>
    </row>
    <row r="716">
      <c r="A716" s="84"/>
      <c r="B716" s="85"/>
      <c r="C716" s="86"/>
      <c r="F716" s="66"/>
    </row>
    <row r="717">
      <c r="A717" s="84"/>
      <c r="B717" s="85"/>
      <c r="C717" s="86"/>
      <c r="F717" s="66"/>
    </row>
    <row r="718">
      <c r="A718" s="84"/>
      <c r="B718" s="85"/>
      <c r="C718" s="86"/>
      <c r="F718" s="66"/>
    </row>
    <row r="719">
      <c r="A719" s="84"/>
      <c r="B719" s="85"/>
      <c r="C719" s="86"/>
      <c r="F719" s="66"/>
    </row>
    <row r="720">
      <c r="A720" s="84"/>
      <c r="B720" s="85"/>
      <c r="C720" s="86"/>
      <c r="F720" s="66"/>
    </row>
    <row r="721">
      <c r="A721" s="84"/>
      <c r="B721" s="85"/>
      <c r="C721" s="86"/>
      <c r="F721" s="66"/>
    </row>
    <row r="722">
      <c r="A722" s="84"/>
      <c r="B722" s="85"/>
      <c r="C722" s="86"/>
      <c r="F722" s="66"/>
    </row>
    <row r="723">
      <c r="A723" s="84"/>
      <c r="B723" s="85"/>
      <c r="C723" s="86"/>
      <c r="F723" s="66"/>
    </row>
    <row r="724">
      <c r="A724" s="84"/>
      <c r="B724" s="85"/>
      <c r="C724" s="86"/>
      <c r="F724" s="66"/>
    </row>
    <row r="725">
      <c r="A725" s="84"/>
      <c r="B725" s="85"/>
      <c r="C725" s="86"/>
      <c r="F725" s="66"/>
    </row>
    <row r="726">
      <c r="A726" s="84"/>
      <c r="B726" s="85"/>
      <c r="C726" s="86"/>
      <c r="F726" s="66"/>
    </row>
    <row r="727">
      <c r="A727" s="84"/>
      <c r="B727" s="85"/>
      <c r="C727" s="86"/>
      <c r="F727" s="66"/>
    </row>
    <row r="728">
      <c r="A728" s="84"/>
      <c r="B728" s="85"/>
      <c r="C728" s="86"/>
      <c r="F728" s="66"/>
    </row>
    <row r="729">
      <c r="A729" s="84"/>
      <c r="B729" s="85"/>
      <c r="C729" s="86"/>
      <c r="F729" s="66"/>
    </row>
    <row r="730">
      <c r="A730" s="84"/>
      <c r="B730" s="85"/>
      <c r="C730" s="86"/>
      <c r="F730" s="66"/>
    </row>
    <row r="731">
      <c r="A731" s="84"/>
      <c r="B731" s="85"/>
      <c r="C731" s="86"/>
      <c r="F731" s="66"/>
    </row>
    <row r="732">
      <c r="A732" s="84"/>
      <c r="B732" s="85"/>
      <c r="C732" s="86"/>
      <c r="F732" s="66"/>
    </row>
    <row r="733">
      <c r="A733" s="84"/>
      <c r="B733" s="85"/>
      <c r="C733" s="86"/>
      <c r="F733" s="66"/>
    </row>
    <row r="734">
      <c r="A734" s="84"/>
      <c r="B734" s="85"/>
      <c r="C734" s="86"/>
      <c r="F734" s="66"/>
    </row>
    <row r="735">
      <c r="A735" s="84"/>
      <c r="B735" s="85"/>
      <c r="C735" s="86"/>
      <c r="F735" s="66"/>
    </row>
    <row r="736">
      <c r="A736" s="84"/>
      <c r="B736" s="85"/>
      <c r="C736" s="86"/>
      <c r="F736" s="66"/>
    </row>
    <row r="737">
      <c r="A737" s="84"/>
      <c r="B737" s="85"/>
      <c r="C737" s="86"/>
      <c r="F737" s="66"/>
    </row>
    <row r="738">
      <c r="A738" s="84"/>
      <c r="B738" s="85"/>
      <c r="C738" s="86"/>
      <c r="F738" s="66"/>
    </row>
    <row r="739">
      <c r="A739" s="84"/>
      <c r="B739" s="85"/>
      <c r="C739" s="86"/>
      <c r="F739" s="66"/>
    </row>
    <row r="740">
      <c r="A740" s="84"/>
      <c r="B740" s="85"/>
      <c r="C740" s="86"/>
      <c r="F740" s="66"/>
    </row>
    <row r="741">
      <c r="A741" s="84"/>
      <c r="B741" s="85"/>
      <c r="C741" s="86"/>
      <c r="F741" s="66"/>
    </row>
    <row r="742">
      <c r="A742" s="84"/>
      <c r="B742" s="85"/>
      <c r="C742" s="86"/>
      <c r="F742" s="66"/>
    </row>
    <row r="743">
      <c r="A743" s="84"/>
      <c r="B743" s="85"/>
      <c r="C743" s="86"/>
      <c r="F743" s="66"/>
    </row>
    <row r="744">
      <c r="A744" s="84"/>
      <c r="B744" s="85"/>
      <c r="C744" s="86"/>
      <c r="F744" s="66"/>
    </row>
    <row r="745">
      <c r="A745" s="84"/>
      <c r="B745" s="85"/>
      <c r="C745" s="86"/>
      <c r="F745" s="66"/>
    </row>
    <row r="746">
      <c r="A746" s="84"/>
      <c r="B746" s="85"/>
      <c r="C746" s="86"/>
      <c r="F746" s="66"/>
    </row>
    <row r="747">
      <c r="A747" s="84"/>
      <c r="B747" s="85"/>
      <c r="C747" s="86"/>
      <c r="F747" s="66"/>
    </row>
    <row r="748">
      <c r="A748" s="84"/>
      <c r="B748" s="85"/>
      <c r="C748" s="86"/>
      <c r="F748" s="66"/>
    </row>
    <row r="749">
      <c r="A749" s="84"/>
      <c r="B749" s="85"/>
      <c r="C749" s="86"/>
      <c r="F749" s="66"/>
    </row>
    <row r="750">
      <c r="A750" s="84"/>
      <c r="B750" s="85"/>
      <c r="C750" s="86"/>
      <c r="F750" s="66"/>
    </row>
    <row r="751">
      <c r="A751" s="84"/>
      <c r="B751" s="85"/>
      <c r="C751" s="86"/>
      <c r="F751" s="66"/>
    </row>
    <row r="752">
      <c r="A752" s="84"/>
      <c r="B752" s="85"/>
      <c r="C752" s="86"/>
      <c r="F752" s="66"/>
    </row>
    <row r="753">
      <c r="A753" s="84"/>
      <c r="B753" s="85"/>
      <c r="C753" s="86"/>
      <c r="F753" s="66"/>
    </row>
    <row r="754">
      <c r="A754" s="84"/>
      <c r="B754" s="85"/>
      <c r="C754" s="86"/>
      <c r="F754" s="66"/>
    </row>
    <row r="755">
      <c r="A755" s="84"/>
      <c r="B755" s="85"/>
      <c r="C755" s="86"/>
      <c r="F755" s="66"/>
    </row>
    <row r="756">
      <c r="A756" s="84"/>
      <c r="B756" s="85"/>
      <c r="C756" s="86"/>
      <c r="F756" s="66"/>
    </row>
    <row r="757">
      <c r="A757" s="84"/>
      <c r="B757" s="85"/>
      <c r="C757" s="86"/>
      <c r="F757" s="66"/>
    </row>
    <row r="758">
      <c r="A758" s="84"/>
      <c r="B758" s="85"/>
      <c r="C758" s="86"/>
      <c r="F758" s="66"/>
    </row>
    <row r="759">
      <c r="A759" s="84"/>
      <c r="B759" s="85"/>
      <c r="C759" s="86"/>
      <c r="F759" s="66"/>
    </row>
    <row r="760">
      <c r="A760" s="84"/>
      <c r="B760" s="85"/>
      <c r="C760" s="86"/>
      <c r="F760" s="66"/>
    </row>
    <row r="761">
      <c r="A761" s="84"/>
      <c r="B761" s="85"/>
      <c r="C761" s="86"/>
      <c r="F761" s="66"/>
    </row>
    <row r="762">
      <c r="A762" s="84"/>
      <c r="B762" s="85"/>
      <c r="C762" s="86"/>
      <c r="F762" s="66"/>
    </row>
    <row r="763">
      <c r="A763" s="84"/>
      <c r="B763" s="85"/>
      <c r="C763" s="86"/>
      <c r="F763" s="66"/>
    </row>
    <row r="764">
      <c r="A764" s="84"/>
      <c r="B764" s="85"/>
      <c r="C764" s="86"/>
      <c r="F764" s="66"/>
    </row>
    <row r="765">
      <c r="A765" s="84"/>
      <c r="B765" s="85"/>
      <c r="C765" s="86"/>
      <c r="F765" s="66"/>
    </row>
    <row r="766">
      <c r="A766" s="84"/>
      <c r="B766" s="85"/>
      <c r="C766" s="86"/>
      <c r="F766" s="66"/>
    </row>
    <row r="767">
      <c r="A767" s="84"/>
      <c r="B767" s="85"/>
      <c r="C767" s="86"/>
      <c r="F767" s="66"/>
    </row>
    <row r="768">
      <c r="A768" s="84"/>
      <c r="B768" s="85"/>
      <c r="C768" s="86"/>
      <c r="F768" s="66"/>
    </row>
    <row r="769">
      <c r="A769" s="84"/>
      <c r="B769" s="85"/>
      <c r="C769" s="86"/>
      <c r="F769" s="66"/>
    </row>
    <row r="770">
      <c r="A770" s="84"/>
      <c r="B770" s="85"/>
      <c r="C770" s="86"/>
      <c r="F770" s="66"/>
    </row>
    <row r="771">
      <c r="A771" s="84"/>
      <c r="B771" s="85"/>
      <c r="C771" s="86"/>
      <c r="F771" s="66"/>
    </row>
    <row r="772">
      <c r="A772" s="84"/>
      <c r="B772" s="85"/>
      <c r="C772" s="86"/>
      <c r="F772" s="66"/>
    </row>
    <row r="773">
      <c r="A773" s="84"/>
      <c r="B773" s="85"/>
      <c r="C773" s="86"/>
      <c r="F773" s="66"/>
    </row>
    <row r="774">
      <c r="A774" s="84"/>
      <c r="B774" s="85"/>
      <c r="C774" s="86"/>
      <c r="F774" s="66"/>
    </row>
    <row r="775">
      <c r="A775" s="84"/>
      <c r="B775" s="85"/>
      <c r="C775" s="86"/>
      <c r="F775" s="66"/>
    </row>
    <row r="776">
      <c r="A776" s="84"/>
      <c r="B776" s="85"/>
      <c r="C776" s="86"/>
      <c r="F776" s="66"/>
    </row>
    <row r="777">
      <c r="A777" s="84"/>
      <c r="B777" s="85"/>
      <c r="C777" s="86"/>
      <c r="F777" s="66"/>
    </row>
    <row r="778">
      <c r="A778" s="84"/>
      <c r="B778" s="85"/>
      <c r="C778" s="86"/>
      <c r="F778" s="66"/>
    </row>
    <row r="779">
      <c r="A779" s="84"/>
      <c r="B779" s="85"/>
      <c r="C779" s="86"/>
      <c r="F779" s="66"/>
    </row>
    <row r="780">
      <c r="A780" s="84"/>
      <c r="B780" s="85"/>
      <c r="C780" s="86"/>
      <c r="F780" s="66"/>
    </row>
    <row r="781">
      <c r="A781" s="84"/>
      <c r="B781" s="85"/>
      <c r="C781" s="86"/>
      <c r="F781" s="66"/>
    </row>
    <row r="782">
      <c r="A782" s="84"/>
      <c r="B782" s="85"/>
      <c r="C782" s="86"/>
      <c r="F782" s="66"/>
    </row>
    <row r="783">
      <c r="A783" s="84"/>
      <c r="B783" s="85"/>
      <c r="C783" s="86"/>
      <c r="F783" s="66"/>
    </row>
    <row r="784">
      <c r="A784" s="84"/>
      <c r="B784" s="85"/>
      <c r="C784" s="86"/>
      <c r="F784" s="66"/>
    </row>
    <row r="785">
      <c r="A785" s="84"/>
      <c r="B785" s="85"/>
      <c r="C785" s="86"/>
      <c r="F785" s="66"/>
    </row>
    <row r="786">
      <c r="A786" s="84"/>
      <c r="B786" s="85"/>
      <c r="C786" s="86"/>
      <c r="F786" s="66"/>
    </row>
    <row r="787">
      <c r="A787" s="84"/>
      <c r="B787" s="85"/>
      <c r="C787" s="86"/>
      <c r="F787" s="66"/>
    </row>
    <row r="788">
      <c r="A788" s="84"/>
      <c r="B788" s="85"/>
      <c r="C788" s="86"/>
      <c r="F788" s="66"/>
    </row>
    <row r="789">
      <c r="A789" s="84"/>
      <c r="B789" s="85"/>
      <c r="C789" s="86"/>
      <c r="F789" s="66"/>
    </row>
    <row r="790">
      <c r="A790" s="84"/>
      <c r="B790" s="85"/>
      <c r="C790" s="86"/>
      <c r="F790" s="66"/>
    </row>
    <row r="791">
      <c r="A791" s="84"/>
      <c r="B791" s="85"/>
      <c r="C791" s="86"/>
      <c r="F791" s="66"/>
    </row>
    <row r="792">
      <c r="A792" s="84"/>
      <c r="B792" s="85"/>
      <c r="C792" s="86"/>
      <c r="F792" s="66"/>
    </row>
    <row r="793">
      <c r="A793" s="84"/>
      <c r="B793" s="85"/>
      <c r="C793" s="86"/>
      <c r="F793" s="66"/>
    </row>
    <row r="794">
      <c r="A794" s="84"/>
      <c r="B794" s="85"/>
      <c r="C794" s="86"/>
      <c r="F794" s="66"/>
    </row>
    <row r="795">
      <c r="A795" s="84"/>
      <c r="B795" s="85"/>
      <c r="C795" s="86"/>
      <c r="F795" s="66"/>
    </row>
    <row r="796">
      <c r="A796" s="84"/>
      <c r="B796" s="85"/>
      <c r="C796" s="86"/>
      <c r="F796" s="66"/>
    </row>
    <row r="797">
      <c r="A797" s="84"/>
      <c r="B797" s="85"/>
      <c r="C797" s="86"/>
      <c r="F797" s="66"/>
    </row>
    <row r="798">
      <c r="A798" s="84"/>
      <c r="B798" s="85"/>
      <c r="C798" s="86"/>
      <c r="F798" s="66"/>
    </row>
    <row r="799">
      <c r="A799" s="84"/>
      <c r="B799" s="85"/>
      <c r="C799" s="86"/>
      <c r="F799" s="66"/>
    </row>
    <row r="800">
      <c r="A800" s="84"/>
      <c r="B800" s="85"/>
      <c r="C800" s="86"/>
      <c r="F800" s="66"/>
    </row>
    <row r="801">
      <c r="A801" s="84"/>
      <c r="B801" s="85"/>
      <c r="C801" s="86"/>
      <c r="F801" s="66"/>
    </row>
    <row r="802">
      <c r="A802" s="84"/>
      <c r="B802" s="85"/>
      <c r="C802" s="86"/>
      <c r="F802" s="66"/>
    </row>
    <row r="803">
      <c r="A803" s="84"/>
      <c r="B803" s="85"/>
      <c r="C803" s="86"/>
      <c r="F803" s="66"/>
    </row>
    <row r="804">
      <c r="A804" s="84"/>
      <c r="B804" s="85"/>
      <c r="C804" s="86"/>
      <c r="F804" s="66"/>
    </row>
    <row r="805">
      <c r="A805" s="84"/>
      <c r="B805" s="85"/>
      <c r="C805" s="86"/>
      <c r="F805" s="66"/>
    </row>
    <row r="806">
      <c r="A806" s="84"/>
      <c r="B806" s="85"/>
      <c r="C806" s="86"/>
      <c r="F806" s="66"/>
    </row>
    <row r="807">
      <c r="A807" s="84"/>
      <c r="B807" s="85"/>
      <c r="C807" s="86"/>
      <c r="F807" s="66"/>
    </row>
    <row r="808">
      <c r="A808" s="84"/>
      <c r="B808" s="85"/>
      <c r="C808" s="86"/>
      <c r="F808" s="66"/>
    </row>
    <row r="809">
      <c r="A809" s="84"/>
      <c r="B809" s="85"/>
      <c r="C809" s="86"/>
      <c r="F809" s="66"/>
    </row>
    <row r="810">
      <c r="A810" s="84"/>
      <c r="B810" s="85"/>
      <c r="C810" s="86"/>
      <c r="F810" s="66"/>
    </row>
    <row r="811">
      <c r="A811" s="84"/>
      <c r="B811" s="85"/>
      <c r="C811" s="86"/>
      <c r="F811" s="66"/>
    </row>
    <row r="812">
      <c r="A812" s="84"/>
      <c r="B812" s="85"/>
      <c r="C812" s="86"/>
      <c r="F812" s="66"/>
    </row>
    <row r="813">
      <c r="A813" s="84"/>
      <c r="B813" s="85"/>
      <c r="C813" s="86"/>
      <c r="F813" s="66"/>
    </row>
    <row r="814">
      <c r="A814" s="84"/>
      <c r="B814" s="85"/>
      <c r="C814" s="86"/>
      <c r="F814" s="66"/>
    </row>
    <row r="815">
      <c r="A815" s="84"/>
      <c r="B815" s="85"/>
      <c r="C815" s="86"/>
      <c r="F815" s="66"/>
    </row>
    <row r="816">
      <c r="A816" s="84"/>
      <c r="B816" s="85"/>
      <c r="C816" s="86"/>
      <c r="F816" s="66"/>
    </row>
    <row r="817">
      <c r="A817" s="84"/>
      <c r="B817" s="85"/>
      <c r="C817" s="86"/>
      <c r="F817" s="66"/>
    </row>
    <row r="818">
      <c r="A818" s="84"/>
      <c r="B818" s="85"/>
      <c r="C818" s="86"/>
      <c r="F818" s="66"/>
    </row>
    <row r="819">
      <c r="A819" s="84"/>
      <c r="B819" s="85"/>
      <c r="C819" s="86"/>
      <c r="F819" s="66"/>
    </row>
    <row r="820">
      <c r="A820" s="84"/>
      <c r="B820" s="85"/>
      <c r="C820" s="86"/>
      <c r="F820" s="66"/>
    </row>
    <row r="821">
      <c r="A821" s="84"/>
      <c r="B821" s="85"/>
      <c r="C821" s="86"/>
      <c r="F821" s="66"/>
    </row>
    <row r="822">
      <c r="A822" s="84"/>
      <c r="B822" s="85"/>
      <c r="C822" s="86"/>
      <c r="F822" s="66"/>
    </row>
    <row r="823">
      <c r="A823" s="84"/>
      <c r="B823" s="85"/>
      <c r="C823" s="86"/>
      <c r="F823" s="66"/>
    </row>
    <row r="824">
      <c r="A824" s="84"/>
      <c r="B824" s="85"/>
      <c r="C824" s="86"/>
      <c r="F824" s="66"/>
    </row>
    <row r="825">
      <c r="A825" s="84"/>
      <c r="B825" s="85"/>
      <c r="C825" s="86"/>
      <c r="F825" s="66"/>
    </row>
    <row r="826">
      <c r="A826" s="84"/>
      <c r="B826" s="85"/>
      <c r="C826" s="86"/>
      <c r="F826" s="66"/>
    </row>
    <row r="827">
      <c r="A827" s="84"/>
      <c r="B827" s="85"/>
      <c r="C827" s="86"/>
      <c r="F827" s="66"/>
    </row>
    <row r="828">
      <c r="A828" s="84"/>
      <c r="B828" s="85"/>
      <c r="C828" s="86"/>
      <c r="F828" s="66"/>
    </row>
    <row r="829">
      <c r="A829" s="84"/>
      <c r="B829" s="85"/>
      <c r="C829" s="86"/>
      <c r="F829" s="66"/>
    </row>
    <row r="830">
      <c r="A830" s="84"/>
      <c r="B830" s="85"/>
      <c r="C830" s="86"/>
      <c r="F830" s="66"/>
    </row>
    <row r="831">
      <c r="A831" s="84"/>
      <c r="B831" s="85"/>
      <c r="C831" s="86"/>
      <c r="F831" s="66"/>
    </row>
    <row r="832">
      <c r="A832" s="84"/>
      <c r="B832" s="85"/>
      <c r="C832" s="86"/>
      <c r="F832" s="66"/>
    </row>
    <row r="833">
      <c r="A833" s="84"/>
      <c r="B833" s="85"/>
      <c r="C833" s="86"/>
      <c r="F833" s="66"/>
    </row>
    <row r="834">
      <c r="A834" s="84"/>
      <c r="B834" s="85"/>
      <c r="C834" s="86"/>
      <c r="F834" s="66"/>
    </row>
    <row r="835">
      <c r="A835" s="84"/>
      <c r="B835" s="85"/>
      <c r="C835" s="86"/>
      <c r="F835" s="66"/>
    </row>
    <row r="836">
      <c r="A836" s="84"/>
      <c r="B836" s="85"/>
      <c r="C836" s="86"/>
      <c r="F836" s="66"/>
    </row>
    <row r="837">
      <c r="A837" s="84"/>
      <c r="B837" s="85"/>
      <c r="C837" s="86"/>
      <c r="F837" s="66"/>
    </row>
    <row r="838">
      <c r="A838" s="84"/>
      <c r="B838" s="85"/>
      <c r="C838" s="86"/>
      <c r="F838" s="66"/>
    </row>
    <row r="839">
      <c r="A839" s="84"/>
      <c r="B839" s="85"/>
      <c r="C839" s="86"/>
      <c r="F839" s="66"/>
    </row>
    <row r="840">
      <c r="A840" s="84"/>
      <c r="B840" s="85"/>
      <c r="C840" s="86"/>
      <c r="F840" s="66"/>
    </row>
    <row r="841">
      <c r="A841" s="84"/>
      <c r="B841" s="85"/>
      <c r="C841" s="86"/>
      <c r="F841" s="66"/>
    </row>
    <row r="842">
      <c r="A842" s="84"/>
      <c r="B842" s="85"/>
      <c r="C842" s="86"/>
      <c r="F842" s="66"/>
    </row>
    <row r="843">
      <c r="A843" s="84"/>
      <c r="B843" s="85"/>
      <c r="C843" s="86"/>
      <c r="F843" s="66"/>
    </row>
    <row r="844">
      <c r="A844" s="84"/>
      <c r="B844" s="85"/>
      <c r="C844" s="86"/>
      <c r="F844" s="66"/>
    </row>
    <row r="845">
      <c r="A845" s="84"/>
      <c r="B845" s="85"/>
      <c r="C845" s="86"/>
      <c r="F845" s="66"/>
    </row>
    <row r="846">
      <c r="A846" s="84"/>
      <c r="B846" s="85"/>
      <c r="C846" s="86"/>
      <c r="F846" s="66"/>
    </row>
    <row r="847">
      <c r="A847" s="84"/>
      <c r="B847" s="85"/>
      <c r="C847" s="86"/>
      <c r="F847" s="66"/>
    </row>
    <row r="848">
      <c r="A848" s="84"/>
      <c r="B848" s="85"/>
      <c r="C848" s="86"/>
      <c r="F848" s="66"/>
    </row>
    <row r="849">
      <c r="A849" s="84"/>
      <c r="B849" s="85"/>
      <c r="C849" s="86"/>
      <c r="F849" s="66"/>
    </row>
    <row r="850">
      <c r="A850" s="84"/>
      <c r="B850" s="85"/>
      <c r="C850" s="86"/>
      <c r="F850" s="66"/>
    </row>
    <row r="851">
      <c r="A851" s="84"/>
      <c r="B851" s="85"/>
      <c r="C851" s="86"/>
      <c r="F851" s="66"/>
    </row>
    <row r="852">
      <c r="A852" s="84"/>
      <c r="B852" s="85"/>
      <c r="C852" s="86"/>
      <c r="F852" s="66"/>
    </row>
    <row r="853">
      <c r="A853" s="84"/>
      <c r="B853" s="85"/>
      <c r="C853" s="86"/>
      <c r="F853" s="66"/>
    </row>
    <row r="854">
      <c r="A854" s="84"/>
      <c r="B854" s="85"/>
      <c r="C854" s="86"/>
      <c r="F854" s="66"/>
    </row>
    <row r="855">
      <c r="A855" s="84"/>
      <c r="B855" s="85"/>
      <c r="C855" s="86"/>
      <c r="F855" s="66"/>
    </row>
    <row r="856">
      <c r="A856" s="84"/>
      <c r="B856" s="85"/>
      <c r="C856" s="86"/>
      <c r="F856" s="66"/>
    </row>
    <row r="857">
      <c r="A857" s="84"/>
      <c r="B857" s="85"/>
      <c r="C857" s="86"/>
      <c r="F857" s="66"/>
    </row>
    <row r="858">
      <c r="A858" s="84"/>
      <c r="B858" s="85"/>
      <c r="C858" s="86"/>
      <c r="F858" s="66"/>
    </row>
    <row r="859">
      <c r="A859" s="84"/>
      <c r="B859" s="85"/>
      <c r="C859" s="86"/>
      <c r="F859" s="66"/>
    </row>
    <row r="860">
      <c r="A860" s="84"/>
      <c r="B860" s="85"/>
      <c r="C860" s="86"/>
      <c r="F860" s="66"/>
    </row>
    <row r="861">
      <c r="A861" s="84"/>
      <c r="B861" s="85"/>
      <c r="C861" s="86"/>
      <c r="F861" s="66"/>
    </row>
    <row r="862">
      <c r="A862" s="84"/>
      <c r="B862" s="85"/>
      <c r="C862" s="86"/>
      <c r="F862" s="66"/>
    </row>
    <row r="863">
      <c r="A863" s="84"/>
      <c r="B863" s="85"/>
      <c r="C863" s="86"/>
      <c r="F863" s="66"/>
    </row>
    <row r="864">
      <c r="A864" s="84"/>
      <c r="B864" s="85"/>
      <c r="C864" s="86"/>
      <c r="F864" s="66"/>
    </row>
    <row r="865">
      <c r="A865" s="84"/>
      <c r="B865" s="85"/>
      <c r="C865" s="86"/>
      <c r="F865" s="66"/>
    </row>
    <row r="866">
      <c r="A866" s="84"/>
      <c r="B866" s="85"/>
      <c r="C866" s="86"/>
      <c r="F866" s="66"/>
    </row>
    <row r="867">
      <c r="A867" s="84"/>
      <c r="B867" s="85"/>
      <c r="C867" s="86"/>
      <c r="F867" s="66"/>
    </row>
    <row r="868">
      <c r="A868" s="84"/>
      <c r="B868" s="85"/>
      <c r="C868" s="86"/>
      <c r="F868" s="66"/>
    </row>
    <row r="869">
      <c r="A869" s="84"/>
      <c r="B869" s="85"/>
      <c r="C869" s="86"/>
      <c r="F869" s="66"/>
    </row>
    <row r="870">
      <c r="A870" s="84"/>
      <c r="B870" s="85"/>
      <c r="C870" s="86"/>
      <c r="F870" s="66"/>
    </row>
    <row r="871">
      <c r="A871" s="84"/>
      <c r="B871" s="85"/>
      <c r="C871" s="86"/>
      <c r="F871" s="66"/>
    </row>
    <row r="872">
      <c r="A872" s="84"/>
      <c r="B872" s="85"/>
      <c r="C872" s="86"/>
      <c r="F872" s="66"/>
    </row>
    <row r="873">
      <c r="A873" s="84"/>
      <c r="B873" s="85"/>
      <c r="C873" s="86"/>
      <c r="F873" s="66"/>
    </row>
    <row r="874">
      <c r="A874" s="84"/>
      <c r="B874" s="85"/>
      <c r="C874" s="86"/>
      <c r="F874" s="66"/>
    </row>
    <row r="875">
      <c r="A875" s="84"/>
      <c r="B875" s="85"/>
      <c r="C875" s="86"/>
      <c r="F875" s="66"/>
    </row>
    <row r="876">
      <c r="A876" s="84"/>
      <c r="B876" s="85"/>
      <c r="C876" s="86"/>
      <c r="F876" s="66"/>
    </row>
    <row r="877">
      <c r="A877" s="84"/>
      <c r="B877" s="85"/>
      <c r="C877" s="86"/>
      <c r="F877" s="66"/>
    </row>
    <row r="878">
      <c r="A878" s="84"/>
      <c r="B878" s="85"/>
      <c r="C878" s="86"/>
      <c r="F878" s="66"/>
    </row>
    <row r="879">
      <c r="A879" s="84"/>
      <c r="B879" s="85"/>
      <c r="C879" s="86"/>
      <c r="F879" s="66"/>
    </row>
    <row r="880">
      <c r="A880" s="84"/>
      <c r="B880" s="85"/>
      <c r="C880" s="86"/>
      <c r="F880" s="66"/>
    </row>
    <row r="881">
      <c r="A881" s="84"/>
      <c r="B881" s="85"/>
      <c r="C881" s="86"/>
      <c r="F881" s="66"/>
    </row>
    <row r="882">
      <c r="A882" s="84"/>
      <c r="B882" s="85"/>
      <c r="C882" s="86"/>
      <c r="F882" s="66"/>
    </row>
    <row r="883">
      <c r="A883" s="84"/>
      <c r="B883" s="85"/>
      <c r="C883" s="86"/>
      <c r="F883" s="66"/>
    </row>
    <row r="884">
      <c r="A884" s="84"/>
      <c r="B884" s="85"/>
      <c r="C884" s="86"/>
      <c r="F884" s="66"/>
    </row>
    <row r="885">
      <c r="A885" s="84"/>
      <c r="B885" s="85"/>
      <c r="C885" s="86"/>
      <c r="F885" s="66"/>
    </row>
    <row r="886">
      <c r="A886" s="84"/>
      <c r="B886" s="85"/>
      <c r="C886" s="86"/>
      <c r="F886" s="66"/>
    </row>
    <row r="887">
      <c r="A887" s="84"/>
      <c r="B887" s="85"/>
      <c r="C887" s="86"/>
      <c r="F887" s="66"/>
    </row>
    <row r="888">
      <c r="A888" s="84"/>
      <c r="B888" s="85"/>
      <c r="C888" s="86"/>
      <c r="F888" s="66"/>
    </row>
    <row r="889">
      <c r="A889" s="84"/>
      <c r="B889" s="85"/>
      <c r="C889" s="86"/>
      <c r="F889" s="66"/>
    </row>
    <row r="890">
      <c r="A890" s="84"/>
      <c r="B890" s="85"/>
      <c r="C890" s="86"/>
      <c r="F890" s="66"/>
    </row>
    <row r="891">
      <c r="A891" s="84"/>
      <c r="B891" s="85"/>
      <c r="C891" s="86"/>
      <c r="F891" s="66"/>
    </row>
    <row r="892">
      <c r="A892" s="84"/>
      <c r="B892" s="85"/>
      <c r="C892" s="86"/>
      <c r="F892" s="66"/>
    </row>
    <row r="893">
      <c r="A893" s="84"/>
      <c r="B893" s="85"/>
      <c r="C893" s="86"/>
      <c r="F893" s="66"/>
    </row>
    <row r="894">
      <c r="A894" s="84"/>
      <c r="B894" s="85"/>
      <c r="C894" s="86"/>
      <c r="F894" s="66"/>
    </row>
    <row r="895">
      <c r="A895" s="84"/>
      <c r="B895" s="85"/>
      <c r="C895" s="86"/>
      <c r="F895" s="66"/>
    </row>
    <row r="896">
      <c r="A896" s="84"/>
      <c r="B896" s="85"/>
      <c r="C896" s="86"/>
      <c r="F896" s="66"/>
    </row>
    <row r="897">
      <c r="A897" s="84"/>
      <c r="B897" s="85"/>
      <c r="C897" s="86"/>
      <c r="F897" s="66"/>
    </row>
    <row r="898">
      <c r="A898" s="84"/>
      <c r="B898" s="85"/>
      <c r="C898" s="86"/>
      <c r="F898" s="66"/>
    </row>
    <row r="899">
      <c r="A899" s="84"/>
      <c r="B899" s="85"/>
      <c r="C899" s="86"/>
      <c r="F899" s="66"/>
    </row>
    <row r="900">
      <c r="A900" s="84"/>
      <c r="B900" s="85"/>
      <c r="C900" s="86"/>
      <c r="F900" s="66"/>
    </row>
    <row r="901">
      <c r="A901" s="84"/>
      <c r="B901" s="85"/>
      <c r="C901" s="86"/>
      <c r="F901" s="66"/>
    </row>
    <row r="902">
      <c r="A902" s="84"/>
      <c r="B902" s="85"/>
      <c r="C902" s="86"/>
      <c r="F902" s="66"/>
    </row>
    <row r="903">
      <c r="A903" s="84"/>
      <c r="B903" s="85"/>
      <c r="C903" s="86"/>
      <c r="F903" s="66"/>
    </row>
    <row r="904">
      <c r="A904" s="84"/>
      <c r="B904" s="85"/>
      <c r="C904" s="86"/>
      <c r="F904" s="66"/>
    </row>
    <row r="905">
      <c r="A905" s="84"/>
      <c r="B905" s="85"/>
      <c r="C905" s="86"/>
      <c r="F905" s="66"/>
    </row>
    <row r="906">
      <c r="A906" s="84"/>
      <c r="B906" s="85"/>
      <c r="C906" s="86"/>
      <c r="F906" s="66"/>
    </row>
    <row r="907">
      <c r="A907" s="84"/>
      <c r="B907" s="85"/>
      <c r="C907" s="86"/>
      <c r="F907" s="66"/>
    </row>
    <row r="908">
      <c r="A908" s="84"/>
      <c r="B908" s="85"/>
      <c r="C908" s="86"/>
      <c r="F908" s="66"/>
    </row>
    <row r="909">
      <c r="A909" s="84"/>
      <c r="B909" s="85"/>
      <c r="C909" s="86"/>
      <c r="F909" s="66"/>
    </row>
    <row r="910">
      <c r="A910" s="84"/>
      <c r="B910" s="85"/>
      <c r="C910" s="86"/>
      <c r="F910" s="66"/>
    </row>
    <row r="911">
      <c r="A911" s="84"/>
      <c r="B911" s="85"/>
      <c r="C911" s="86"/>
      <c r="F911" s="66"/>
    </row>
    <row r="912">
      <c r="A912" s="84"/>
      <c r="B912" s="85"/>
      <c r="C912" s="86"/>
      <c r="F912" s="66"/>
    </row>
    <row r="913">
      <c r="A913" s="84"/>
      <c r="B913" s="85"/>
      <c r="C913" s="86"/>
      <c r="F913" s="66"/>
    </row>
    <row r="914">
      <c r="A914" s="84"/>
      <c r="B914" s="85"/>
      <c r="C914" s="86"/>
      <c r="F914" s="66"/>
    </row>
    <row r="915">
      <c r="A915" s="84"/>
      <c r="B915" s="85"/>
      <c r="C915" s="86"/>
      <c r="F915" s="66"/>
    </row>
    <row r="916">
      <c r="A916" s="84"/>
      <c r="B916" s="85"/>
      <c r="C916" s="86"/>
      <c r="F916" s="66"/>
    </row>
    <row r="917">
      <c r="A917" s="84"/>
      <c r="B917" s="85"/>
      <c r="C917" s="86"/>
      <c r="F917" s="66"/>
    </row>
    <row r="918">
      <c r="A918" s="84"/>
      <c r="B918" s="85"/>
      <c r="C918" s="86"/>
      <c r="F918" s="66"/>
    </row>
    <row r="919">
      <c r="A919" s="84"/>
      <c r="B919" s="85"/>
      <c r="C919" s="86"/>
      <c r="F919" s="66"/>
    </row>
    <row r="920">
      <c r="A920" s="84"/>
      <c r="B920" s="85"/>
      <c r="C920" s="86"/>
      <c r="F920" s="66"/>
    </row>
    <row r="921">
      <c r="A921" s="84"/>
      <c r="B921" s="85"/>
      <c r="C921" s="86"/>
      <c r="F921" s="66"/>
    </row>
    <row r="922">
      <c r="A922" s="84"/>
      <c r="B922" s="85"/>
      <c r="C922" s="86"/>
      <c r="F922" s="66"/>
    </row>
    <row r="923">
      <c r="A923" s="84"/>
      <c r="B923" s="85"/>
      <c r="C923" s="86"/>
      <c r="F923" s="66"/>
    </row>
    <row r="924">
      <c r="A924" s="84"/>
      <c r="B924" s="85"/>
      <c r="C924" s="86"/>
      <c r="F924" s="66"/>
    </row>
    <row r="925">
      <c r="A925" s="84"/>
      <c r="B925" s="85"/>
      <c r="C925" s="86"/>
      <c r="F925" s="66"/>
    </row>
    <row r="926">
      <c r="A926" s="84"/>
      <c r="B926" s="85"/>
      <c r="C926" s="86"/>
      <c r="F926" s="66"/>
    </row>
    <row r="927">
      <c r="A927" s="84"/>
      <c r="B927" s="85"/>
      <c r="C927" s="86"/>
      <c r="F927" s="66"/>
    </row>
    <row r="928">
      <c r="A928" s="84"/>
      <c r="B928" s="85"/>
      <c r="C928" s="86"/>
      <c r="F928" s="66"/>
    </row>
    <row r="929">
      <c r="A929" s="84"/>
      <c r="B929" s="85"/>
      <c r="C929" s="86"/>
      <c r="F929" s="66"/>
    </row>
    <row r="930">
      <c r="A930" s="84"/>
      <c r="B930" s="85"/>
      <c r="C930" s="86"/>
      <c r="F930" s="66"/>
    </row>
    <row r="931">
      <c r="A931" s="84"/>
      <c r="B931" s="85"/>
      <c r="C931" s="86"/>
      <c r="F931" s="66"/>
    </row>
    <row r="932">
      <c r="A932" s="84"/>
      <c r="B932" s="85"/>
      <c r="C932" s="86"/>
      <c r="F932" s="66"/>
    </row>
    <row r="933">
      <c r="A933" s="84"/>
      <c r="B933" s="85"/>
      <c r="C933" s="86"/>
      <c r="F933" s="66"/>
    </row>
    <row r="934">
      <c r="A934" s="84"/>
      <c r="B934" s="85"/>
      <c r="C934" s="86"/>
      <c r="F934" s="66"/>
    </row>
    <row r="935">
      <c r="A935" s="84"/>
      <c r="B935" s="85"/>
      <c r="C935" s="86"/>
      <c r="F935" s="66"/>
    </row>
    <row r="936">
      <c r="A936" s="84"/>
      <c r="B936" s="85"/>
      <c r="C936" s="86"/>
      <c r="F936" s="66"/>
    </row>
    <row r="937">
      <c r="A937" s="84"/>
      <c r="B937" s="85"/>
      <c r="C937" s="86"/>
      <c r="F937" s="66"/>
    </row>
    <row r="938">
      <c r="A938" s="84"/>
      <c r="B938" s="85"/>
      <c r="C938" s="86"/>
      <c r="F938" s="66"/>
    </row>
    <row r="939">
      <c r="A939" s="84"/>
      <c r="B939" s="85"/>
      <c r="C939" s="86"/>
      <c r="F939" s="66"/>
    </row>
    <row r="940">
      <c r="A940" s="84"/>
      <c r="B940" s="85"/>
      <c r="C940" s="86"/>
      <c r="F940" s="66"/>
    </row>
    <row r="941">
      <c r="A941" s="84"/>
      <c r="B941" s="85"/>
      <c r="C941" s="86"/>
      <c r="F941" s="66"/>
    </row>
    <row r="942">
      <c r="A942" s="84"/>
      <c r="B942" s="85"/>
      <c r="C942" s="86"/>
      <c r="F942" s="66"/>
    </row>
    <row r="943">
      <c r="A943" s="84"/>
      <c r="B943" s="85"/>
      <c r="C943" s="86"/>
      <c r="F943" s="66"/>
    </row>
    <row r="944">
      <c r="A944" s="84"/>
      <c r="B944" s="85"/>
      <c r="C944" s="86"/>
      <c r="F944" s="66"/>
    </row>
    <row r="945">
      <c r="A945" s="84"/>
      <c r="B945" s="85"/>
      <c r="C945" s="86"/>
      <c r="F945" s="66"/>
    </row>
    <row r="946">
      <c r="A946" s="84"/>
      <c r="B946" s="85"/>
      <c r="C946" s="86"/>
      <c r="F946" s="66"/>
    </row>
    <row r="947">
      <c r="A947" s="84"/>
      <c r="B947" s="85"/>
      <c r="C947" s="86"/>
      <c r="F947" s="66"/>
    </row>
    <row r="948">
      <c r="A948" s="84"/>
      <c r="B948" s="85"/>
      <c r="C948" s="86"/>
      <c r="F948" s="66"/>
    </row>
    <row r="949">
      <c r="A949" s="84"/>
      <c r="B949" s="85"/>
      <c r="C949" s="86"/>
      <c r="F949" s="66"/>
    </row>
    <row r="950">
      <c r="A950" s="84"/>
      <c r="B950" s="85"/>
      <c r="C950" s="86"/>
      <c r="F950" s="66"/>
    </row>
    <row r="951">
      <c r="A951" s="84"/>
      <c r="B951" s="85"/>
      <c r="C951" s="86"/>
      <c r="F951" s="66"/>
    </row>
    <row r="952">
      <c r="A952" s="84"/>
      <c r="B952" s="85"/>
      <c r="C952" s="86"/>
      <c r="F952" s="66"/>
    </row>
    <row r="953">
      <c r="A953" s="84"/>
      <c r="B953" s="85"/>
      <c r="C953" s="86"/>
      <c r="F953" s="66"/>
    </row>
    <row r="954">
      <c r="A954" s="84"/>
      <c r="B954" s="85"/>
      <c r="C954" s="86"/>
      <c r="F954" s="66"/>
    </row>
    <row r="955">
      <c r="A955" s="84"/>
      <c r="B955" s="85"/>
      <c r="C955" s="86"/>
      <c r="F955" s="66"/>
    </row>
    <row r="956">
      <c r="A956" s="84"/>
      <c r="B956" s="85"/>
      <c r="C956" s="86"/>
      <c r="F956" s="66"/>
    </row>
    <row r="957">
      <c r="A957" s="84"/>
      <c r="B957" s="85"/>
      <c r="C957" s="86"/>
      <c r="F957" s="66"/>
    </row>
    <row r="958">
      <c r="A958" s="84"/>
      <c r="B958" s="85"/>
      <c r="C958" s="86"/>
      <c r="F958" s="66"/>
    </row>
    <row r="959">
      <c r="A959" s="84"/>
      <c r="B959" s="85"/>
      <c r="C959" s="86"/>
      <c r="F959" s="66"/>
    </row>
    <row r="960">
      <c r="A960" s="84"/>
      <c r="B960" s="85"/>
      <c r="C960" s="86"/>
      <c r="F960" s="66"/>
    </row>
    <row r="961">
      <c r="A961" s="84"/>
      <c r="B961" s="85"/>
      <c r="C961" s="86"/>
      <c r="F961" s="66"/>
    </row>
    <row r="962">
      <c r="A962" s="84"/>
      <c r="B962" s="85"/>
      <c r="C962" s="86"/>
      <c r="F962" s="66"/>
    </row>
    <row r="963">
      <c r="A963" s="84"/>
      <c r="B963" s="85"/>
      <c r="C963" s="86"/>
      <c r="F963" s="66"/>
    </row>
    <row r="964">
      <c r="A964" s="84"/>
      <c r="B964" s="85"/>
      <c r="C964" s="86"/>
      <c r="F964" s="66"/>
    </row>
    <row r="965">
      <c r="A965" s="84"/>
      <c r="B965" s="85"/>
      <c r="C965" s="86"/>
      <c r="F965" s="66"/>
    </row>
    <row r="966">
      <c r="A966" s="84"/>
      <c r="B966" s="85"/>
      <c r="C966" s="86"/>
      <c r="F966" s="66"/>
    </row>
    <row r="967">
      <c r="A967" s="84"/>
      <c r="B967" s="85"/>
      <c r="C967" s="86"/>
      <c r="F967" s="66"/>
    </row>
    <row r="968">
      <c r="A968" s="84"/>
      <c r="B968" s="85"/>
      <c r="C968" s="86"/>
      <c r="F968" s="66"/>
    </row>
    <row r="969">
      <c r="A969" s="84"/>
      <c r="B969" s="85"/>
      <c r="C969" s="86"/>
      <c r="F969" s="66"/>
    </row>
    <row r="970">
      <c r="A970" s="84"/>
      <c r="B970" s="85"/>
      <c r="C970" s="86"/>
      <c r="F970" s="66"/>
    </row>
    <row r="971">
      <c r="A971" s="84"/>
      <c r="B971" s="85"/>
      <c r="C971" s="86"/>
      <c r="F971" s="66"/>
    </row>
    <row r="972">
      <c r="A972" s="84"/>
      <c r="B972" s="85"/>
      <c r="C972" s="86"/>
      <c r="F972" s="66"/>
    </row>
    <row r="973">
      <c r="A973" s="84"/>
      <c r="B973" s="85"/>
      <c r="C973" s="86"/>
      <c r="F973" s="66"/>
    </row>
    <row r="974">
      <c r="A974" s="84"/>
      <c r="B974" s="85"/>
      <c r="C974" s="86"/>
      <c r="F974" s="66"/>
    </row>
    <row r="975">
      <c r="A975" s="84"/>
      <c r="B975" s="85"/>
      <c r="C975" s="86"/>
      <c r="F975" s="66"/>
    </row>
    <row r="976">
      <c r="A976" s="84"/>
      <c r="B976" s="85"/>
      <c r="C976" s="86"/>
      <c r="F976" s="66"/>
    </row>
    <row r="977">
      <c r="A977" s="84"/>
      <c r="B977" s="85"/>
      <c r="C977" s="86"/>
      <c r="F977" s="66"/>
    </row>
    <row r="978">
      <c r="A978" s="84"/>
      <c r="B978" s="85"/>
      <c r="C978" s="86"/>
      <c r="F978" s="66"/>
    </row>
    <row r="979">
      <c r="A979" s="84"/>
      <c r="B979" s="85"/>
      <c r="C979" s="86"/>
      <c r="F979" s="87"/>
    </row>
  </sheetData>
  <conditionalFormatting sqref="F1:F978">
    <cfRule type="cellIs" dxfId="6" priority="1" operator="greaterThan">
      <formula>DOLLAR(0)</formula>
    </cfRule>
  </conditionalFormatting>
  <conditionalFormatting sqref="F1:F978">
    <cfRule type="cellIs" dxfId="7" priority="2" operator="lessThan">
      <formula>DOLLAR(0)</formula>
    </cfRule>
  </conditionalFormatting>
  <dataValidations>
    <dataValidation type="custom" allowBlank="1" showDropDown="1" sqref="C2:C20">
      <formula1>OR(NOT(ISERROR(DATEVALUE(C2))), AND(ISNUMBER(C2), LEFT(CELL("format", C2))="D"))</formula1>
    </dataValidation>
    <dataValidation type="custom" allowBlank="1" showDropDown="1" sqref="B2:B20">
      <formula1>AND(ISNUMBER(B2),(NOT(OR(NOT(ISERROR(DATEVALUE(B2))), AND(ISNUMBER(B2), LEFT(CELL("format", B2))="D")))))</formula1>
    </dataValidation>
    <dataValidation allowBlank="1" showDropDown="1" sqref="A2:A20"/>
    <dataValidation type="list" allowBlank="1" showDropDown="1" showErrorMessage="1" sqref="D2:D20">
      <formula1>"Credit Card,Credit,Pay Later"</formula1>
    </dataValidation>
  </dataValidations>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2.63" defaultRowHeight="15.75"/>
  <cols>
    <col customWidth="1" min="1" max="1" width="14.38"/>
    <col customWidth="1" min="2" max="2" width="28.5"/>
    <col customWidth="1" min="3" max="3" width="21.13"/>
    <col customWidth="1" min="4" max="4" width="17.38"/>
    <col customWidth="1" min="5" max="5" width="16.0"/>
    <col customWidth="1" min="6" max="6" width="20.88"/>
    <col customWidth="1" min="7" max="7" width="15.75"/>
  </cols>
  <sheetData>
    <row r="1">
      <c r="A1" s="88">
        <f>'Monthly Expenses '!A55</f>
        <v>4832.16</v>
      </c>
      <c r="B1" s="89" t="s">
        <v>139</v>
      </c>
      <c r="C1" s="90" t="s">
        <v>1</v>
      </c>
      <c r="D1" s="91" t="s">
        <v>140</v>
      </c>
      <c r="E1" s="92" t="s">
        <v>118</v>
      </c>
      <c r="F1" s="93" t="s">
        <v>141</v>
      </c>
    </row>
    <row r="2">
      <c r="A2" s="94"/>
      <c r="B2" s="12"/>
      <c r="C2" s="12"/>
      <c r="D2" s="95" t="str">
        <f>DOLLAR(24213.12)</f>
        <v>$24,213.12</v>
      </c>
      <c r="E2" s="96">
        <v>43135.98888888889</v>
      </c>
      <c r="F2" s="66"/>
    </row>
    <row r="3">
      <c r="A3" s="97"/>
      <c r="B3" s="98" t="s">
        <v>142</v>
      </c>
      <c r="C3" s="12"/>
      <c r="D3" s="95" t="str">
        <f>DOLLAR(24354.22)</f>
        <v>$24,354.22</v>
      </c>
      <c r="E3" s="96">
        <v>43163.89097222222</v>
      </c>
      <c r="F3" s="99" t="str">
        <f t="shared" ref="F3:F7" si="1">DOLLAR(D3-D2)</f>
        <v>$141.10</v>
      </c>
    </row>
    <row r="4">
      <c r="A4" s="97">
        <v>600.0</v>
      </c>
      <c r="B4" s="6" t="s">
        <v>143</v>
      </c>
      <c r="C4" s="38"/>
      <c r="D4" s="95" t="str">
        <f>DOLLAR(27399.76)</f>
        <v>$27,399.76</v>
      </c>
      <c r="E4" s="96">
        <v>43200.504166666666</v>
      </c>
      <c r="F4" s="99" t="str">
        <f t="shared" si="1"/>
        <v>$3,045.54</v>
      </c>
    </row>
    <row r="5">
      <c r="A5" s="100">
        <v>0.0</v>
      </c>
      <c r="B5" s="101" t="s">
        <v>144</v>
      </c>
      <c r="C5" s="102" t="s">
        <v>145</v>
      </c>
      <c r="D5" s="95" t="str">
        <f>DOLLAR(28381.08)</f>
        <v>$28,381.08</v>
      </c>
      <c r="E5" s="96">
        <v>43228.586805555555</v>
      </c>
      <c r="F5" s="99" t="str">
        <f t="shared" si="1"/>
        <v>$981.32</v>
      </c>
    </row>
    <row r="6">
      <c r="A6" s="97">
        <v>260.0</v>
      </c>
      <c r="B6" s="6" t="s">
        <v>146</v>
      </c>
      <c r="C6" s="12"/>
      <c r="D6" s="103" t="str">
        <f>DOLLAR(28833.06)</f>
        <v>$28,833.06</v>
      </c>
      <c r="E6" s="96">
        <v>43257.436111111114</v>
      </c>
      <c r="F6" s="99" t="str">
        <f t="shared" si="1"/>
        <v>$451.98</v>
      </c>
    </row>
    <row r="7">
      <c r="A7" s="97">
        <v>258.0</v>
      </c>
      <c r="B7" s="6" t="s">
        <v>147</v>
      </c>
      <c r="C7" s="12"/>
      <c r="D7" s="95" t="str">
        <f>DOLLAR(31188.23)</f>
        <v>$31,188.23</v>
      </c>
      <c r="E7" s="96">
        <v>43292.92222222222</v>
      </c>
      <c r="F7" s="99" t="str">
        <f t="shared" si="1"/>
        <v>$2,355.17</v>
      </c>
    </row>
    <row r="8">
      <c r="A8" s="100">
        <v>0.0</v>
      </c>
      <c r="B8" s="101" t="s">
        <v>148</v>
      </c>
      <c r="C8" s="102" t="s">
        <v>145</v>
      </c>
      <c r="D8" s="95" t="str">
        <f>DOLLAR(5912.46)</f>
        <v>$5,912.46</v>
      </c>
      <c r="E8" s="96"/>
      <c r="F8" s="99"/>
    </row>
    <row r="9">
      <c r="A9" s="97">
        <v>150.0</v>
      </c>
      <c r="B9" s="6" t="s">
        <v>149</v>
      </c>
      <c r="C9" s="2"/>
      <c r="D9" s="95" t="str">
        <f>DOLLAR(1956.4)</f>
        <v>$1,956.40</v>
      </c>
      <c r="E9" s="96"/>
      <c r="F9" s="99"/>
    </row>
    <row r="10">
      <c r="A10" s="97">
        <v>40.0</v>
      </c>
      <c r="B10" s="6" t="s">
        <v>150</v>
      </c>
      <c r="C10" s="2"/>
      <c r="D10" s="95" t="str">
        <f>DOLLAR(1374.83)</f>
        <v>$1,374.83</v>
      </c>
      <c r="E10" s="96"/>
      <c r="F10" s="99"/>
    </row>
    <row r="11">
      <c r="A11" s="97">
        <v>150.0</v>
      </c>
      <c r="B11" s="6" t="s">
        <v>151</v>
      </c>
      <c r="C11" s="2"/>
      <c r="D11" s="95" t="str">
        <f>DOLLAR(36910.39)</f>
        <v>$36,910.39</v>
      </c>
      <c r="E11" s="96">
        <v>43331.86111111111</v>
      </c>
      <c r="F11" s="99" t="str">
        <f>DOLLAR(D11-D7)</f>
        <v>$5,722.16</v>
      </c>
    </row>
    <row r="12">
      <c r="A12" s="97">
        <v>175.0</v>
      </c>
      <c r="B12" s="6" t="s">
        <v>152</v>
      </c>
      <c r="C12" s="2"/>
      <c r="D12" s="95" t="str">
        <f>DOLLAR(43868.12)</f>
        <v>$43,868.12</v>
      </c>
      <c r="E12" s="96">
        <v>43436.02222222222</v>
      </c>
      <c r="F12" s="99" t="str">
        <f t="shared" ref="F12:F42" si="2">DOLLAR(D12-D11)</f>
        <v>$6,957.73</v>
      </c>
    </row>
    <row r="13">
      <c r="A13" s="97">
        <v>52.0</v>
      </c>
      <c r="B13" s="6" t="s">
        <v>153</v>
      </c>
      <c r="C13" s="2"/>
      <c r="D13" s="95" t="str">
        <f>DOLLAR(45166.2)</f>
        <v>$45,166.20</v>
      </c>
      <c r="E13" s="96">
        <v>43469.58819444444</v>
      </c>
      <c r="F13" s="99" t="str">
        <f t="shared" si="2"/>
        <v>$1,298.08</v>
      </c>
    </row>
    <row r="14">
      <c r="A14" s="97">
        <v>190.0</v>
      </c>
      <c r="B14" s="6" t="s">
        <v>154</v>
      </c>
      <c r="C14" s="2"/>
      <c r="D14" s="95" t="str">
        <f>DOLLAR(49162.25)</f>
        <v>$49,162.25</v>
      </c>
      <c r="E14" s="96">
        <v>43512.5</v>
      </c>
      <c r="F14" s="99" t="str">
        <f t="shared" si="2"/>
        <v>$3,996.05</v>
      </c>
    </row>
    <row r="15">
      <c r="A15" s="97">
        <v>95.0</v>
      </c>
      <c r="B15" s="6" t="s">
        <v>155</v>
      </c>
      <c r="C15" s="2"/>
      <c r="D15" s="95" t="str">
        <f>DOLLAR(45440.82)</f>
        <v>$45,440.82</v>
      </c>
      <c r="E15" s="96">
        <v>43534.53055555555</v>
      </c>
      <c r="F15" s="104" t="str">
        <f t="shared" si="2"/>
        <v>-$3,721.43</v>
      </c>
    </row>
    <row r="16">
      <c r="A16" s="97">
        <v>280.0</v>
      </c>
      <c r="B16" s="6" t="s">
        <v>156</v>
      </c>
      <c r="C16" s="2"/>
      <c r="D16" s="95" t="str">
        <f>DOLLAR(37075.56)</f>
        <v>$37,075.56</v>
      </c>
      <c r="E16" s="96">
        <v>43564.56875</v>
      </c>
      <c r="F16" s="105" t="str">
        <f t="shared" si="2"/>
        <v>-$8,365.26</v>
      </c>
    </row>
    <row r="17">
      <c r="A17" s="100">
        <v>0.0</v>
      </c>
      <c r="B17" s="101" t="s">
        <v>157</v>
      </c>
      <c r="C17" s="102" t="s">
        <v>158</v>
      </c>
      <c r="D17" s="95" t="str">
        <f>DOLLAR(36057.53)</f>
        <v>$36,057.53</v>
      </c>
      <c r="E17" s="96">
        <v>43594.433333333334</v>
      </c>
      <c r="F17" s="105" t="str">
        <f t="shared" si="2"/>
        <v>-$1,018.03</v>
      </c>
    </row>
    <row r="18">
      <c r="A18" s="97">
        <v>200.0</v>
      </c>
      <c r="B18" s="6" t="s">
        <v>159</v>
      </c>
      <c r="C18" s="2"/>
      <c r="D18" s="95" t="str">
        <f>DOLLAR(34955.56)</f>
        <v>$34,955.56</v>
      </c>
      <c r="E18" s="96">
        <v>43624.97986111111</v>
      </c>
      <c r="F18" s="105" t="str">
        <f t="shared" si="2"/>
        <v>-$1,101.97</v>
      </c>
    </row>
    <row r="19">
      <c r="A19" s="94">
        <f>SUM(A4:A18)</f>
        <v>2450</v>
      </c>
      <c r="B19" s="106" t="s">
        <v>160</v>
      </c>
      <c r="C19" s="12"/>
      <c r="D19" s="95" t="str">
        <f>DOLLAR(35822.32)</f>
        <v>$35,822.32</v>
      </c>
      <c r="E19" s="96">
        <v>43654.55694444444</v>
      </c>
      <c r="F19" s="107" t="str">
        <f t="shared" si="2"/>
        <v>$866.76</v>
      </c>
    </row>
    <row r="20">
      <c r="A20" s="94"/>
      <c r="B20" s="2"/>
      <c r="C20" s="12"/>
      <c r="D20" s="95" t="str">
        <f>DOLLAR(36059.74)</f>
        <v>$36,059.74</v>
      </c>
      <c r="E20" s="96">
        <v>43686.481944444444</v>
      </c>
      <c r="F20" s="107" t="str">
        <f t="shared" si="2"/>
        <v>$237.42</v>
      </c>
    </row>
    <row r="21">
      <c r="A21" s="94">
        <f>MINUS(A1,A19)</f>
        <v>2382.16</v>
      </c>
      <c r="B21" s="106" t="s">
        <v>161</v>
      </c>
      <c r="C21" s="12"/>
      <c r="D21" s="95" t="str">
        <f>DOLLAR(38522.86)</f>
        <v>$38,522.86</v>
      </c>
      <c r="E21" s="96">
        <v>43720.413194444445</v>
      </c>
      <c r="F21" s="66" t="str">
        <f t="shared" si="2"/>
        <v>$2,463.12</v>
      </c>
    </row>
    <row r="22">
      <c r="A22" s="28"/>
      <c r="B22" s="12"/>
      <c r="C22" s="12"/>
      <c r="D22" s="108" t="str">
        <f>DOLLAR(40096.72)</f>
        <v>$40,096.72</v>
      </c>
      <c r="E22" s="96">
        <v>43748.51388888889</v>
      </c>
      <c r="F22" s="66" t="str">
        <f t="shared" si="2"/>
        <v>$1,573.86</v>
      </c>
    </row>
    <row r="23">
      <c r="A23" s="84"/>
      <c r="B23" s="12"/>
      <c r="C23" s="12"/>
      <c r="D23" s="108" t="str">
        <f>DOLLAR(42630.42)</f>
        <v>$42,630.42</v>
      </c>
      <c r="E23" s="96">
        <v>43778.90069444444</v>
      </c>
      <c r="F23" s="66" t="str">
        <f t="shared" si="2"/>
        <v>$2,533.70</v>
      </c>
    </row>
    <row r="24">
      <c r="A24" s="109"/>
      <c r="B24" s="12"/>
      <c r="C24" s="12"/>
      <c r="D24" s="108" t="str">
        <f>DOLLAR(43863.81)</f>
        <v>$43,863.81</v>
      </c>
      <c r="E24" s="96">
        <v>43809.86736111111</v>
      </c>
      <c r="F24" s="66" t="str">
        <f t="shared" si="2"/>
        <v>$1,233.39</v>
      </c>
    </row>
    <row r="25">
      <c r="B25" s="12"/>
      <c r="C25" s="12"/>
      <c r="D25" s="95" t="str">
        <f>DOLLAR(45619.52)</f>
        <v>$45,619.52</v>
      </c>
      <c r="E25" s="96">
        <v>43852.416666666664</v>
      </c>
      <c r="F25" s="66" t="str">
        <f t="shared" si="2"/>
        <v>$1,755.71</v>
      </c>
    </row>
    <row r="26">
      <c r="A26" s="110"/>
      <c r="B26" s="12"/>
      <c r="C26" s="12"/>
      <c r="D26" s="95" t="str">
        <f>DOLLAR(57581.36)</f>
        <v>$57,581.36</v>
      </c>
      <c r="E26" s="96">
        <v>44189.46597222222</v>
      </c>
      <c r="F26" s="66" t="str">
        <f t="shared" si="2"/>
        <v>$11,961.84</v>
      </c>
    </row>
    <row r="27">
      <c r="A27" s="84"/>
      <c r="B27" s="12"/>
      <c r="C27" s="12"/>
      <c r="D27" s="95" t="str">
        <f>DOLLAR(57000)</f>
        <v>$57,000.00</v>
      </c>
      <c r="E27" s="96">
        <v>44547.42847222222</v>
      </c>
      <c r="F27" s="66" t="str">
        <f t="shared" si="2"/>
        <v>-$581.36</v>
      </c>
    </row>
    <row r="28">
      <c r="A28" s="84"/>
      <c r="B28" s="12"/>
      <c r="C28" s="12"/>
      <c r="D28" s="95" t="str">
        <f>Dollar(51000)</f>
        <v>$51,000.00</v>
      </c>
      <c r="E28" s="111">
        <v>44642.0</v>
      </c>
      <c r="F28" s="66" t="str">
        <f t="shared" si="2"/>
        <v>-$6,000.00</v>
      </c>
      <c r="G28" s="31"/>
    </row>
    <row r="29">
      <c r="A29" s="84"/>
      <c r="B29" s="12"/>
      <c r="C29" s="12"/>
      <c r="D29" s="108" t="str">
        <f>DOLLAR(52687.37)</f>
        <v>$52,687.37</v>
      </c>
      <c r="E29" s="111">
        <v>44734.0</v>
      </c>
      <c r="F29" s="66" t="str">
        <f t="shared" si="2"/>
        <v>$1,687.37</v>
      </c>
      <c r="G29" s="31"/>
    </row>
    <row r="30">
      <c r="A30" s="84"/>
      <c r="B30" s="12"/>
      <c r="C30" s="12"/>
      <c r="D30" s="95" t="str">
        <f>DOLLAR(39918.53)</f>
        <v>$39,918.53</v>
      </c>
      <c r="E30" s="111">
        <v>44866.0</v>
      </c>
      <c r="F30" s="66" t="str">
        <f t="shared" si="2"/>
        <v>-$12,768.84</v>
      </c>
      <c r="G30" s="31"/>
    </row>
    <row r="31">
      <c r="A31" s="84"/>
      <c r="B31" s="12"/>
      <c r="C31" s="12"/>
      <c r="D31" s="108" t="str">
        <f>DOLLAR(36610.74)</f>
        <v>$36,610.74</v>
      </c>
      <c r="E31" s="111">
        <v>44897.0</v>
      </c>
      <c r="F31" s="112" t="str">
        <f t="shared" si="2"/>
        <v>-$3,307.79</v>
      </c>
      <c r="G31" s="113"/>
    </row>
    <row r="32">
      <c r="A32" s="84"/>
      <c r="B32" s="12"/>
      <c r="C32" s="12"/>
      <c r="D32" s="95" t="str">
        <f>DOLLAR(34248.3)</f>
        <v>$34,248.30</v>
      </c>
      <c r="E32" s="111">
        <v>44954.0</v>
      </c>
      <c r="F32" s="114" t="str">
        <f t="shared" si="2"/>
        <v>-$2,362.44</v>
      </c>
      <c r="G32" s="31"/>
    </row>
    <row r="33">
      <c r="A33" s="84"/>
      <c r="B33" s="12"/>
      <c r="C33" s="12"/>
      <c r="D33" s="95" t="str">
        <f>DOLLAR(33391.55)</f>
        <v>$33,391.55</v>
      </c>
      <c r="E33" s="111">
        <v>45014.0</v>
      </c>
      <c r="F33" s="114" t="str">
        <f t="shared" si="2"/>
        <v>-$856.75</v>
      </c>
      <c r="G33" s="31"/>
    </row>
    <row r="34">
      <c r="A34" s="84"/>
      <c r="B34" s="12"/>
      <c r="C34" s="12"/>
      <c r="D34" s="103" t="str">
        <f>DOLLAR(35453.77)</f>
        <v>$35,453.77</v>
      </c>
      <c r="E34" s="111">
        <v>45054.0</v>
      </c>
      <c r="F34" s="114" t="str">
        <f t="shared" si="2"/>
        <v>$2,062.22</v>
      </c>
      <c r="G34" s="31"/>
    </row>
    <row r="35">
      <c r="A35" s="84"/>
      <c r="B35" s="12"/>
      <c r="C35" s="12"/>
      <c r="D35" s="108" t="str">
        <f>DOLLAR(35677.16)</f>
        <v>$35,677.16</v>
      </c>
      <c r="E35" s="111">
        <v>45140.0</v>
      </c>
      <c r="F35" s="114" t="str">
        <f t="shared" si="2"/>
        <v>$223.39</v>
      </c>
      <c r="G35" s="5"/>
    </row>
    <row r="36">
      <c r="A36" s="84"/>
      <c r="B36" s="12"/>
      <c r="C36" s="12"/>
      <c r="D36" s="108" t="str">
        <f>DOLLAR(32922.34)</f>
        <v>$32,922.34</v>
      </c>
      <c r="E36" s="111">
        <v>45170.0</v>
      </c>
      <c r="F36" s="112" t="str">
        <f t="shared" si="2"/>
        <v>-$2,754.82</v>
      </c>
      <c r="G36" s="5"/>
    </row>
    <row r="37">
      <c r="A37" s="84"/>
      <c r="B37" s="12"/>
      <c r="C37" s="12"/>
      <c r="D37" s="108" t="str">
        <f>DOLLAR(31149.17)</f>
        <v>$31,149.17</v>
      </c>
      <c r="E37" s="111">
        <v>45200.0</v>
      </c>
      <c r="F37" s="66" t="str">
        <f t="shared" si="2"/>
        <v>-$1,773.17</v>
      </c>
    </row>
    <row r="38">
      <c r="A38" s="84"/>
      <c r="B38" s="12"/>
      <c r="C38" s="12"/>
      <c r="D38" s="95" t="str">
        <f>DOLLAR(31647.43)</f>
        <v>$31,647.43</v>
      </c>
      <c r="E38" s="111">
        <v>45254.0</v>
      </c>
      <c r="F38" s="66" t="str">
        <f t="shared" si="2"/>
        <v>$498.26</v>
      </c>
    </row>
    <row r="39">
      <c r="A39" s="84"/>
      <c r="B39" s="12"/>
      <c r="C39" s="12"/>
      <c r="D39" s="95" t="str">
        <f>DOLLAR(28759.84)</f>
        <v>$28,759.84</v>
      </c>
      <c r="E39" s="111">
        <v>45455.0</v>
      </c>
      <c r="F39" s="66" t="str">
        <f t="shared" si="2"/>
        <v>-$2,887.59</v>
      </c>
    </row>
    <row r="40">
      <c r="A40" s="84"/>
      <c r="B40" s="12"/>
      <c r="C40" s="12"/>
      <c r="D40" s="95" t="str">
        <f>DOLLAR(44318.32)</f>
        <v>$44,318.32</v>
      </c>
      <c r="E40" s="111">
        <v>45694.0</v>
      </c>
      <c r="F40" s="66" t="str">
        <f t="shared" si="2"/>
        <v>$15,558.48</v>
      </c>
    </row>
    <row r="41">
      <c r="A41" s="84"/>
      <c r="B41" s="12"/>
      <c r="C41" s="12"/>
      <c r="D41" s="95" t="str">
        <f>DOLLAR(44795.09)</f>
        <v>$44,795.09</v>
      </c>
      <c r="E41" s="111">
        <v>45725.0</v>
      </c>
      <c r="F41" s="66" t="str">
        <f t="shared" si="2"/>
        <v>$476.77</v>
      </c>
    </row>
    <row r="42">
      <c r="A42" s="84"/>
      <c r="B42" s="12"/>
      <c r="C42" s="12"/>
      <c r="D42" s="95" t="str">
        <f>DOLLAR(93652.17)</f>
        <v>$93,652.17</v>
      </c>
      <c r="E42" s="111">
        <v>45927.0</v>
      </c>
      <c r="F42" s="66" t="str">
        <f t="shared" si="2"/>
        <v>$48,857.08</v>
      </c>
    </row>
    <row r="43">
      <c r="A43" s="84"/>
      <c r="B43" s="12"/>
      <c r="C43" s="12"/>
      <c r="F43" s="66"/>
    </row>
    <row r="44">
      <c r="A44" s="84"/>
      <c r="B44" s="12"/>
      <c r="C44" s="12"/>
      <c r="D44" s="108"/>
      <c r="F44" s="66"/>
    </row>
    <row r="45">
      <c r="A45" s="84"/>
      <c r="B45" s="12"/>
      <c r="C45" s="12"/>
      <c r="D45" s="108"/>
      <c r="F45" s="66"/>
    </row>
    <row r="46">
      <c r="A46" s="84"/>
      <c r="B46" s="12"/>
      <c r="C46" s="12"/>
      <c r="D46" s="108"/>
      <c r="F46" s="66"/>
    </row>
    <row r="47">
      <c r="A47" s="84"/>
      <c r="B47" s="12"/>
      <c r="C47" s="12"/>
      <c r="D47" s="108"/>
      <c r="F47" s="66"/>
    </row>
    <row r="48">
      <c r="A48" s="84"/>
      <c r="B48" s="12"/>
      <c r="C48" s="12"/>
      <c r="D48" s="108"/>
      <c r="F48" s="66"/>
    </row>
    <row r="49">
      <c r="A49" s="84"/>
      <c r="B49" s="12"/>
      <c r="C49" s="12"/>
      <c r="D49" s="108"/>
      <c r="F49" s="66"/>
    </row>
    <row r="50">
      <c r="A50" s="84"/>
      <c r="B50" s="12"/>
      <c r="C50" s="12"/>
      <c r="D50" s="108"/>
      <c r="F50" s="66"/>
    </row>
    <row r="51">
      <c r="A51" s="84"/>
      <c r="B51" s="12"/>
      <c r="C51" s="12"/>
      <c r="D51" s="108"/>
      <c r="F51" s="66"/>
    </row>
    <row r="52">
      <c r="A52" s="84"/>
      <c r="B52" s="12"/>
      <c r="C52" s="12"/>
      <c r="D52" s="108"/>
      <c r="F52" s="66"/>
    </row>
    <row r="53">
      <c r="A53" s="84"/>
      <c r="B53" s="12"/>
      <c r="C53" s="12"/>
      <c r="D53" s="108"/>
      <c r="F53" s="66"/>
    </row>
    <row r="54">
      <c r="A54" s="84"/>
      <c r="B54" s="12"/>
      <c r="C54" s="12"/>
      <c r="D54" s="108"/>
      <c r="F54" s="66"/>
    </row>
    <row r="55">
      <c r="A55" s="84"/>
      <c r="B55" s="12"/>
      <c r="C55" s="12"/>
      <c r="D55" s="108"/>
      <c r="F55" s="66"/>
    </row>
    <row r="56">
      <c r="A56" s="84"/>
      <c r="B56" s="12"/>
      <c r="C56" s="12"/>
      <c r="D56" s="108"/>
      <c r="F56" s="66"/>
    </row>
    <row r="57">
      <c r="A57" s="84"/>
      <c r="B57" s="12"/>
      <c r="C57" s="12"/>
      <c r="D57" s="108"/>
      <c r="F57" s="66"/>
    </row>
    <row r="58">
      <c r="A58" s="84"/>
      <c r="B58" s="12"/>
      <c r="C58" s="12"/>
      <c r="D58" s="108"/>
      <c r="F58" s="66"/>
    </row>
    <row r="59">
      <c r="A59" s="84"/>
      <c r="B59" s="12"/>
      <c r="C59" s="12"/>
      <c r="D59" s="108"/>
      <c r="F59" s="66"/>
    </row>
    <row r="60">
      <c r="A60" s="84"/>
      <c r="B60" s="12"/>
      <c r="C60" s="12"/>
      <c r="D60" s="108"/>
      <c r="F60" s="66"/>
    </row>
    <row r="61">
      <c r="A61" s="84"/>
      <c r="B61" s="12"/>
      <c r="C61" s="12"/>
      <c r="D61" s="108"/>
      <c r="F61" s="66"/>
    </row>
    <row r="62">
      <c r="A62" s="84"/>
      <c r="B62" s="12"/>
      <c r="C62" s="12"/>
      <c r="D62" s="108"/>
      <c r="F62" s="66"/>
    </row>
    <row r="63">
      <c r="A63" s="84"/>
      <c r="B63" s="12"/>
      <c r="C63" s="12"/>
      <c r="D63" s="108"/>
      <c r="F63" s="66"/>
    </row>
    <row r="64">
      <c r="A64" s="84"/>
      <c r="B64" s="12"/>
      <c r="C64" s="12"/>
      <c r="D64" s="108"/>
      <c r="F64" s="66"/>
    </row>
    <row r="65">
      <c r="A65" s="84"/>
      <c r="B65" s="12"/>
      <c r="C65" s="12"/>
      <c r="D65" s="108"/>
      <c r="F65" s="66"/>
    </row>
    <row r="66">
      <c r="A66" s="84"/>
      <c r="B66" s="12"/>
      <c r="C66" s="12"/>
      <c r="D66" s="108"/>
      <c r="F66" s="66"/>
    </row>
    <row r="67">
      <c r="A67" s="84"/>
      <c r="B67" s="12"/>
      <c r="C67" s="12"/>
      <c r="D67" s="108"/>
      <c r="F67" s="66"/>
    </row>
    <row r="68">
      <c r="A68" s="84"/>
      <c r="B68" s="12"/>
      <c r="C68" s="12"/>
      <c r="D68" s="108"/>
      <c r="F68" s="66"/>
    </row>
    <row r="69">
      <c r="A69" s="84"/>
      <c r="B69" s="12"/>
      <c r="C69" s="12"/>
      <c r="D69" s="108"/>
      <c r="F69" s="66"/>
    </row>
    <row r="70">
      <c r="A70" s="84"/>
      <c r="B70" s="12"/>
      <c r="C70" s="12"/>
      <c r="D70" s="108"/>
      <c r="F70" s="66"/>
    </row>
    <row r="71">
      <c r="A71" s="84"/>
      <c r="B71" s="12"/>
      <c r="C71" s="12"/>
      <c r="D71" s="108"/>
      <c r="F71" s="66"/>
    </row>
    <row r="72">
      <c r="A72" s="84"/>
      <c r="B72" s="12"/>
      <c r="C72" s="12"/>
      <c r="D72" s="108"/>
      <c r="F72" s="66"/>
    </row>
    <row r="73">
      <c r="A73" s="84"/>
      <c r="B73" s="12"/>
      <c r="C73" s="12"/>
      <c r="D73" s="108"/>
      <c r="F73" s="66"/>
    </row>
    <row r="74">
      <c r="A74" s="84"/>
      <c r="B74" s="12"/>
      <c r="C74" s="12"/>
      <c r="D74" s="108"/>
      <c r="F74" s="66"/>
    </row>
    <row r="75">
      <c r="A75" s="84"/>
      <c r="B75" s="12"/>
      <c r="C75" s="12"/>
      <c r="D75" s="108"/>
      <c r="F75" s="66"/>
    </row>
    <row r="76">
      <c r="A76" s="84"/>
      <c r="B76" s="12"/>
      <c r="C76" s="12"/>
      <c r="D76" s="108"/>
      <c r="F76" s="66"/>
    </row>
    <row r="77">
      <c r="A77" s="84"/>
      <c r="B77" s="12"/>
      <c r="C77" s="12"/>
      <c r="D77" s="108"/>
      <c r="F77" s="66"/>
    </row>
    <row r="78">
      <c r="A78" s="84"/>
      <c r="B78" s="12"/>
      <c r="C78" s="12"/>
      <c r="D78" s="108"/>
      <c r="F78" s="66"/>
    </row>
    <row r="79">
      <c r="A79" s="84"/>
      <c r="B79" s="12"/>
      <c r="C79" s="12"/>
      <c r="D79" s="108"/>
      <c r="F79" s="66"/>
    </row>
    <row r="80">
      <c r="A80" s="84"/>
      <c r="B80" s="12"/>
      <c r="C80" s="12"/>
      <c r="D80" s="108"/>
      <c r="F80" s="66"/>
    </row>
    <row r="81">
      <c r="A81" s="84"/>
      <c r="B81" s="12"/>
      <c r="C81" s="12"/>
      <c r="D81" s="108"/>
      <c r="F81" s="66"/>
    </row>
    <row r="82">
      <c r="A82" s="84"/>
      <c r="B82" s="12"/>
      <c r="C82" s="12"/>
      <c r="D82" s="108"/>
      <c r="F82" s="66"/>
    </row>
    <row r="83">
      <c r="A83" s="84"/>
      <c r="B83" s="12"/>
      <c r="C83" s="12"/>
      <c r="D83" s="108"/>
      <c r="F83" s="66"/>
    </row>
    <row r="84">
      <c r="A84" s="84"/>
      <c r="B84" s="12"/>
      <c r="C84" s="12"/>
      <c r="D84" s="108"/>
      <c r="F84" s="66"/>
    </row>
    <row r="85">
      <c r="A85" s="84"/>
      <c r="B85" s="12"/>
      <c r="C85" s="12"/>
      <c r="D85" s="108"/>
      <c r="F85" s="66"/>
    </row>
    <row r="86">
      <c r="A86" s="84"/>
      <c r="B86" s="12"/>
      <c r="C86" s="12"/>
      <c r="D86" s="108"/>
      <c r="F86" s="66"/>
    </row>
    <row r="87">
      <c r="A87" s="84"/>
      <c r="B87" s="12"/>
      <c r="C87" s="12"/>
      <c r="D87" s="108"/>
      <c r="F87" s="66"/>
    </row>
    <row r="88">
      <c r="A88" s="84"/>
      <c r="B88" s="12"/>
      <c r="C88" s="12"/>
      <c r="D88" s="108"/>
      <c r="F88" s="66"/>
    </row>
    <row r="89">
      <c r="A89" s="84"/>
      <c r="B89" s="12"/>
      <c r="C89" s="12"/>
      <c r="D89" s="108"/>
      <c r="F89" s="66"/>
    </row>
    <row r="90">
      <c r="A90" s="84"/>
      <c r="B90" s="12"/>
      <c r="C90" s="12"/>
      <c r="D90" s="108"/>
      <c r="F90" s="66"/>
    </row>
    <row r="91">
      <c r="A91" s="84"/>
      <c r="B91" s="12"/>
      <c r="C91" s="12"/>
      <c r="D91" s="108"/>
      <c r="F91" s="66"/>
    </row>
    <row r="92">
      <c r="A92" s="84"/>
      <c r="B92" s="12"/>
      <c r="C92" s="12"/>
      <c r="D92" s="108"/>
      <c r="F92" s="66"/>
    </row>
    <row r="93">
      <c r="A93" s="84"/>
      <c r="B93" s="12"/>
      <c r="C93" s="12"/>
      <c r="D93" s="108"/>
      <c r="F93" s="66"/>
    </row>
    <row r="94">
      <c r="A94" s="84"/>
      <c r="B94" s="12"/>
      <c r="C94" s="12"/>
      <c r="D94" s="108"/>
      <c r="F94" s="66"/>
    </row>
    <row r="95">
      <c r="A95" s="84"/>
      <c r="B95" s="12"/>
      <c r="C95" s="12"/>
      <c r="D95" s="108"/>
      <c r="F95" s="66"/>
    </row>
    <row r="96">
      <c r="A96" s="84"/>
      <c r="B96" s="12"/>
      <c r="C96" s="12"/>
      <c r="D96" s="108"/>
      <c r="F96" s="66"/>
    </row>
    <row r="97">
      <c r="A97" s="84"/>
      <c r="B97" s="12"/>
      <c r="C97" s="12"/>
      <c r="D97" s="108"/>
      <c r="F97" s="66"/>
    </row>
    <row r="98">
      <c r="A98" s="84"/>
      <c r="B98" s="12"/>
      <c r="C98" s="12"/>
      <c r="D98" s="108"/>
      <c r="F98" s="66"/>
    </row>
    <row r="99">
      <c r="A99" s="84"/>
      <c r="B99" s="12"/>
      <c r="C99" s="12"/>
      <c r="D99" s="108"/>
      <c r="F99" s="66"/>
    </row>
    <row r="100">
      <c r="A100" s="84"/>
      <c r="B100" s="12"/>
      <c r="C100" s="12"/>
      <c r="D100" s="108"/>
      <c r="F100" s="66"/>
    </row>
    <row r="101">
      <c r="A101" s="84"/>
      <c r="B101" s="12"/>
      <c r="C101" s="12"/>
      <c r="D101" s="108"/>
      <c r="F101" s="66"/>
    </row>
    <row r="102">
      <c r="A102" s="84"/>
      <c r="B102" s="12"/>
      <c r="C102" s="12"/>
      <c r="D102" s="108"/>
      <c r="F102" s="66"/>
    </row>
    <row r="103">
      <c r="A103" s="84"/>
      <c r="B103" s="12"/>
      <c r="C103" s="12"/>
      <c r="D103" s="108"/>
      <c r="F103" s="66"/>
    </row>
    <row r="104">
      <c r="A104" s="84"/>
      <c r="B104" s="12"/>
      <c r="C104" s="12"/>
      <c r="D104" s="108"/>
      <c r="F104" s="66"/>
    </row>
    <row r="105">
      <c r="A105" s="84"/>
      <c r="B105" s="12"/>
      <c r="C105" s="12"/>
      <c r="D105" s="108"/>
      <c r="F105" s="66"/>
    </row>
    <row r="106">
      <c r="A106" s="84"/>
      <c r="B106" s="12"/>
      <c r="C106" s="12"/>
      <c r="D106" s="108"/>
      <c r="F106" s="66"/>
    </row>
    <row r="107">
      <c r="A107" s="84"/>
      <c r="B107" s="12"/>
      <c r="C107" s="12"/>
      <c r="D107" s="108"/>
      <c r="F107" s="66"/>
    </row>
    <row r="108">
      <c r="A108" s="84"/>
      <c r="B108" s="12"/>
      <c r="C108" s="12"/>
      <c r="D108" s="108"/>
      <c r="F108" s="66"/>
    </row>
    <row r="109">
      <c r="A109" s="84"/>
      <c r="B109" s="12"/>
      <c r="C109" s="12"/>
      <c r="D109" s="108"/>
      <c r="F109" s="66"/>
    </row>
    <row r="110">
      <c r="A110" s="84"/>
      <c r="B110" s="12"/>
      <c r="C110" s="12"/>
      <c r="D110" s="108"/>
      <c r="F110" s="66"/>
    </row>
    <row r="111">
      <c r="A111" s="84"/>
      <c r="B111" s="12"/>
      <c r="C111" s="12"/>
      <c r="D111" s="108"/>
      <c r="F111" s="66"/>
    </row>
    <row r="112">
      <c r="A112" s="84"/>
      <c r="B112" s="12"/>
      <c r="C112" s="12"/>
      <c r="D112" s="108"/>
      <c r="F112" s="66"/>
    </row>
    <row r="113">
      <c r="A113" s="84"/>
      <c r="B113" s="12"/>
      <c r="C113" s="12"/>
      <c r="D113" s="108"/>
      <c r="F113" s="66"/>
    </row>
    <row r="114">
      <c r="A114" s="84"/>
      <c r="B114" s="12"/>
      <c r="C114" s="12"/>
      <c r="D114" s="108"/>
      <c r="F114" s="66"/>
    </row>
    <row r="115">
      <c r="A115" s="84"/>
      <c r="B115" s="12"/>
      <c r="C115" s="12"/>
      <c r="D115" s="108"/>
      <c r="F115" s="66"/>
    </row>
    <row r="116">
      <c r="A116" s="84"/>
      <c r="B116" s="12"/>
      <c r="C116" s="12"/>
      <c r="D116" s="108"/>
      <c r="F116" s="66"/>
    </row>
    <row r="117">
      <c r="A117" s="84"/>
      <c r="B117" s="12"/>
      <c r="C117" s="12"/>
      <c r="D117" s="108"/>
      <c r="F117" s="66"/>
    </row>
    <row r="118">
      <c r="A118" s="84"/>
      <c r="B118" s="12"/>
      <c r="C118" s="12"/>
      <c r="D118" s="108"/>
      <c r="F118" s="66"/>
    </row>
    <row r="119">
      <c r="A119" s="84"/>
      <c r="B119" s="12"/>
      <c r="C119" s="12"/>
      <c r="D119" s="108"/>
      <c r="F119" s="66"/>
    </row>
    <row r="120">
      <c r="A120" s="84"/>
      <c r="B120" s="12"/>
      <c r="C120" s="12"/>
      <c r="D120" s="108"/>
      <c r="F120" s="66"/>
    </row>
    <row r="121">
      <c r="A121" s="84"/>
      <c r="B121" s="12"/>
      <c r="C121" s="12"/>
      <c r="D121" s="108"/>
      <c r="F121" s="66"/>
    </row>
    <row r="122">
      <c r="A122" s="84"/>
      <c r="B122" s="12"/>
      <c r="C122" s="12"/>
      <c r="D122" s="108"/>
      <c r="F122" s="66"/>
    </row>
    <row r="123">
      <c r="A123" s="84"/>
      <c r="B123" s="12"/>
      <c r="C123" s="12"/>
      <c r="D123" s="108"/>
      <c r="F123" s="66"/>
    </row>
    <row r="124">
      <c r="A124" s="84"/>
      <c r="B124" s="12"/>
      <c r="C124" s="12"/>
      <c r="D124" s="108"/>
      <c r="F124" s="66"/>
    </row>
    <row r="125">
      <c r="A125" s="84"/>
      <c r="B125" s="12"/>
      <c r="C125" s="12"/>
      <c r="D125" s="108"/>
      <c r="F125" s="66"/>
    </row>
    <row r="126">
      <c r="A126" s="84"/>
      <c r="B126" s="12"/>
      <c r="C126" s="12"/>
      <c r="D126" s="108"/>
      <c r="F126" s="66"/>
    </row>
    <row r="127">
      <c r="A127" s="84"/>
      <c r="B127" s="12"/>
      <c r="C127" s="12"/>
      <c r="D127" s="108"/>
      <c r="F127" s="66"/>
    </row>
    <row r="128">
      <c r="A128" s="84"/>
      <c r="B128" s="12"/>
      <c r="C128" s="12"/>
      <c r="D128" s="108"/>
      <c r="F128" s="66"/>
    </row>
    <row r="129">
      <c r="A129" s="84"/>
      <c r="B129" s="12"/>
      <c r="C129" s="12"/>
      <c r="D129" s="108"/>
      <c r="F129" s="66"/>
    </row>
    <row r="130">
      <c r="A130" s="84"/>
      <c r="B130" s="12"/>
      <c r="C130" s="12"/>
      <c r="D130" s="108"/>
      <c r="F130" s="66"/>
    </row>
    <row r="131">
      <c r="A131" s="84"/>
      <c r="B131" s="12"/>
      <c r="C131" s="12"/>
      <c r="D131" s="108"/>
      <c r="F131" s="66"/>
    </row>
    <row r="132">
      <c r="A132" s="84"/>
      <c r="B132" s="12"/>
      <c r="C132" s="12"/>
      <c r="D132" s="108"/>
      <c r="F132" s="66"/>
    </row>
    <row r="133">
      <c r="A133" s="84"/>
      <c r="B133" s="12"/>
      <c r="C133" s="12"/>
      <c r="D133" s="108"/>
      <c r="F133" s="66"/>
    </row>
    <row r="134">
      <c r="A134" s="84"/>
      <c r="B134" s="12"/>
      <c r="C134" s="12"/>
      <c r="D134" s="108"/>
      <c r="F134" s="66"/>
    </row>
    <row r="135">
      <c r="A135" s="84"/>
      <c r="B135" s="12"/>
      <c r="C135" s="12"/>
      <c r="D135" s="108"/>
      <c r="F135" s="66"/>
    </row>
    <row r="136">
      <c r="A136" s="84"/>
      <c r="B136" s="12"/>
      <c r="C136" s="12"/>
      <c r="D136" s="108"/>
      <c r="F136" s="66"/>
    </row>
    <row r="137">
      <c r="A137" s="84"/>
      <c r="B137" s="12"/>
      <c r="C137" s="12"/>
      <c r="D137" s="108"/>
      <c r="F137" s="66"/>
    </row>
    <row r="138">
      <c r="A138" s="84"/>
      <c r="B138" s="12"/>
      <c r="C138" s="12"/>
      <c r="D138" s="108"/>
      <c r="F138" s="66"/>
    </row>
    <row r="139">
      <c r="A139" s="84"/>
      <c r="B139" s="12"/>
      <c r="C139" s="12"/>
      <c r="D139" s="108"/>
      <c r="F139" s="66"/>
    </row>
    <row r="140">
      <c r="A140" s="84"/>
      <c r="B140" s="12"/>
      <c r="C140" s="12"/>
      <c r="D140" s="108"/>
      <c r="F140" s="66"/>
    </row>
    <row r="141">
      <c r="A141" s="84"/>
      <c r="B141" s="12"/>
      <c r="C141" s="12"/>
      <c r="D141" s="108"/>
      <c r="F141" s="66"/>
    </row>
    <row r="142">
      <c r="A142" s="84"/>
      <c r="B142" s="12"/>
      <c r="C142" s="12"/>
      <c r="D142" s="108"/>
      <c r="F142" s="66"/>
    </row>
    <row r="143">
      <c r="A143" s="84"/>
      <c r="B143" s="12"/>
      <c r="C143" s="12"/>
      <c r="D143" s="108"/>
      <c r="F143" s="66"/>
    </row>
    <row r="144">
      <c r="A144" s="84"/>
      <c r="B144" s="12"/>
      <c r="C144" s="12"/>
      <c r="D144" s="108"/>
      <c r="F144" s="66"/>
    </row>
    <row r="145">
      <c r="A145" s="84"/>
      <c r="B145" s="12"/>
      <c r="C145" s="12"/>
      <c r="D145" s="108"/>
      <c r="F145" s="66"/>
    </row>
    <row r="146">
      <c r="A146" s="84"/>
      <c r="B146" s="12"/>
      <c r="C146" s="12"/>
      <c r="D146" s="108"/>
      <c r="F146" s="66"/>
    </row>
    <row r="147">
      <c r="A147" s="84"/>
      <c r="B147" s="12"/>
      <c r="C147" s="12"/>
      <c r="D147" s="108"/>
      <c r="F147" s="66"/>
    </row>
    <row r="148">
      <c r="A148" s="84"/>
      <c r="B148" s="12"/>
      <c r="C148" s="12"/>
      <c r="D148" s="108"/>
      <c r="F148" s="66"/>
    </row>
    <row r="149">
      <c r="A149" s="84"/>
      <c r="B149" s="12"/>
      <c r="C149" s="12"/>
      <c r="D149" s="108"/>
      <c r="F149" s="66"/>
    </row>
    <row r="150">
      <c r="A150" s="84"/>
      <c r="B150" s="12"/>
      <c r="C150" s="12"/>
      <c r="D150" s="108"/>
      <c r="F150" s="66"/>
    </row>
    <row r="151">
      <c r="A151" s="84"/>
      <c r="B151" s="12"/>
      <c r="C151" s="12"/>
      <c r="D151" s="108"/>
      <c r="F151" s="66"/>
    </row>
    <row r="152">
      <c r="A152" s="84"/>
      <c r="B152" s="12"/>
      <c r="C152" s="12"/>
      <c r="D152" s="108"/>
      <c r="F152" s="66"/>
    </row>
    <row r="153">
      <c r="A153" s="84"/>
      <c r="B153" s="12"/>
      <c r="C153" s="12"/>
      <c r="D153" s="108"/>
      <c r="F153" s="66"/>
    </row>
    <row r="154">
      <c r="A154" s="84"/>
      <c r="B154" s="12"/>
      <c r="C154" s="12"/>
      <c r="D154" s="108"/>
      <c r="F154" s="66"/>
    </row>
    <row r="155">
      <c r="A155" s="84"/>
      <c r="B155" s="12"/>
      <c r="C155" s="12"/>
      <c r="D155" s="108"/>
      <c r="F155" s="66"/>
    </row>
    <row r="156">
      <c r="A156" s="84"/>
      <c r="B156" s="12"/>
      <c r="C156" s="12"/>
      <c r="D156" s="108"/>
      <c r="F156" s="66"/>
    </row>
    <row r="157">
      <c r="A157" s="84"/>
      <c r="B157" s="12"/>
      <c r="C157" s="12"/>
      <c r="D157" s="108"/>
      <c r="F157" s="66"/>
    </row>
    <row r="158">
      <c r="A158" s="84"/>
      <c r="B158" s="12"/>
      <c r="C158" s="12"/>
      <c r="D158" s="108"/>
      <c r="F158" s="66"/>
    </row>
    <row r="159">
      <c r="A159" s="84"/>
      <c r="B159" s="12"/>
      <c r="C159" s="12"/>
      <c r="D159" s="108"/>
      <c r="F159" s="66"/>
    </row>
    <row r="160">
      <c r="A160" s="84"/>
      <c r="B160" s="12"/>
      <c r="C160" s="12"/>
      <c r="D160" s="108"/>
      <c r="F160" s="66"/>
    </row>
    <row r="161">
      <c r="A161" s="84"/>
      <c r="B161" s="12"/>
      <c r="C161" s="12"/>
      <c r="D161" s="108"/>
      <c r="F161" s="66"/>
    </row>
    <row r="162">
      <c r="A162" s="84"/>
      <c r="B162" s="12"/>
      <c r="C162" s="12"/>
      <c r="D162" s="108"/>
      <c r="F162" s="66"/>
    </row>
    <row r="163">
      <c r="A163" s="84"/>
      <c r="B163" s="12"/>
      <c r="C163" s="12"/>
      <c r="D163" s="108"/>
      <c r="F163" s="66"/>
    </row>
    <row r="164">
      <c r="A164" s="84"/>
      <c r="B164" s="12"/>
      <c r="C164" s="12"/>
      <c r="D164" s="108"/>
      <c r="F164" s="66"/>
    </row>
    <row r="165">
      <c r="A165" s="84"/>
      <c r="B165" s="12"/>
      <c r="C165" s="12"/>
      <c r="D165" s="108"/>
      <c r="F165" s="66"/>
    </row>
    <row r="166">
      <c r="A166" s="84"/>
      <c r="B166" s="12"/>
      <c r="C166" s="12"/>
      <c r="D166" s="108"/>
      <c r="F166" s="66"/>
    </row>
    <row r="167">
      <c r="A167" s="84"/>
      <c r="B167" s="12"/>
      <c r="C167" s="12"/>
      <c r="D167" s="108"/>
      <c r="F167" s="66"/>
    </row>
    <row r="168">
      <c r="A168" s="84"/>
      <c r="B168" s="12"/>
      <c r="C168" s="12"/>
      <c r="D168" s="108"/>
      <c r="F168" s="66"/>
    </row>
    <row r="169">
      <c r="A169" s="84"/>
      <c r="B169" s="12"/>
      <c r="C169" s="12"/>
      <c r="D169" s="108"/>
      <c r="F169" s="66"/>
    </row>
    <row r="170">
      <c r="A170" s="84"/>
      <c r="B170" s="12"/>
      <c r="C170" s="12"/>
      <c r="D170" s="108"/>
      <c r="F170" s="66"/>
    </row>
    <row r="171">
      <c r="A171" s="84"/>
      <c r="B171" s="12"/>
      <c r="C171" s="12"/>
      <c r="D171" s="108"/>
      <c r="F171" s="66"/>
    </row>
    <row r="172">
      <c r="A172" s="84"/>
      <c r="B172" s="12"/>
      <c r="C172" s="12"/>
      <c r="D172" s="108"/>
      <c r="F172" s="66"/>
    </row>
    <row r="173">
      <c r="A173" s="84"/>
      <c r="B173" s="12"/>
      <c r="C173" s="12"/>
      <c r="D173" s="108"/>
      <c r="F173" s="66"/>
    </row>
    <row r="174">
      <c r="A174" s="84"/>
      <c r="B174" s="12"/>
      <c r="C174" s="12"/>
      <c r="D174" s="108"/>
      <c r="F174" s="66"/>
    </row>
    <row r="175">
      <c r="A175" s="84"/>
      <c r="B175" s="12"/>
      <c r="C175" s="12"/>
      <c r="D175" s="108"/>
      <c r="F175" s="66"/>
    </row>
    <row r="176">
      <c r="A176" s="84"/>
      <c r="B176" s="12"/>
      <c r="C176" s="12"/>
      <c r="D176" s="108"/>
      <c r="F176" s="66"/>
    </row>
    <row r="177">
      <c r="A177" s="84"/>
      <c r="B177" s="12"/>
      <c r="C177" s="12"/>
      <c r="D177" s="108"/>
      <c r="F177" s="66"/>
    </row>
    <row r="178">
      <c r="A178" s="84"/>
      <c r="B178" s="12"/>
      <c r="C178" s="12"/>
      <c r="D178" s="108"/>
      <c r="F178" s="66"/>
    </row>
    <row r="179">
      <c r="A179" s="84"/>
      <c r="B179" s="12"/>
      <c r="C179" s="12"/>
      <c r="D179" s="108"/>
      <c r="F179" s="66"/>
    </row>
    <row r="180">
      <c r="A180" s="84"/>
      <c r="B180" s="12"/>
      <c r="C180" s="12"/>
      <c r="D180" s="108"/>
      <c r="F180" s="66"/>
    </row>
    <row r="181">
      <c r="A181" s="84"/>
      <c r="B181" s="12"/>
      <c r="C181" s="12"/>
      <c r="D181" s="108"/>
      <c r="F181" s="66"/>
    </row>
    <row r="182">
      <c r="A182" s="84"/>
      <c r="B182" s="12"/>
      <c r="C182" s="12"/>
      <c r="D182" s="108"/>
      <c r="F182" s="66"/>
    </row>
    <row r="183">
      <c r="A183" s="84"/>
      <c r="B183" s="12"/>
      <c r="C183" s="12"/>
      <c r="D183" s="108"/>
      <c r="F183" s="66"/>
    </row>
    <row r="184">
      <c r="A184" s="84"/>
      <c r="B184" s="12"/>
      <c r="C184" s="12"/>
      <c r="D184" s="108"/>
      <c r="F184" s="66"/>
    </row>
    <row r="185">
      <c r="A185" s="84"/>
      <c r="B185" s="12"/>
      <c r="C185" s="12"/>
      <c r="D185" s="108"/>
      <c r="F185" s="66"/>
    </row>
    <row r="186">
      <c r="A186" s="84"/>
      <c r="B186" s="12"/>
      <c r="C186" s="12"/>
      <c r="D186" s="108"/>
      <c r="F186" s="66"/>
    </row>
    <row r="187">
      <c r="A187" s="84"/>
      <c r="B187" s="12"/>
      <c r="C187" s="12"/>
      <c r="D187" s="108"/>
      <c r="F187" s="66"/>
    </row>
    <row r="188">
      <c r="A188" s="84"/>
      <c r="B188" s="12"/>
      <c r="C188" s="12"/>
      <c r="D188" s="108"/>
      <c r="F188" s="66"/>
    </row>
    <row r="189">
      <c r="A189" s="84"/>
      <c r="B189" s="12"/>
      <c r="C189" s="12"/>
      <c r="D189" s="108"/>
      <c r="F189" s="66"/>
    </row>
    <row r="190">
      <c r="A190" s="84"/>
      <c r="B190" s="12"/>
      <c r="C190" s="12"/>
      <c r="D190" s="108"/>
      <c r="F190" s="66"/>
    </row>
    <row r="191">
      <c r="A191" s="84"/>
      <c r="B191" s="12"/>
      <c r="C191" s="12"/>
      <c r="D191" s="108"/>
      <c r="F191" s="66"/>
    </row>
    <row r="192">
      <c r="A192" s="84"/>
      <c r="B192" s="12"/>
      <c r="C192" s="12"/>
      <c r="D192" s="108"/>
      <c r="F192" s="66"/>
    </row>
    <row r="193">
      <c r="A193" s="84"/>
      <c r="B193" s="12"/>
      <c r="C193" s="12"/>
      <c r="D193" s="108"/>
      <c r="F193" s="66"/>
    </row>
    <row r="194">
      <c r="A194" s="84"/>
      <c r="B194" s="12"/>
      <c r="C194" s="12"/>
      <c r="D194" s="108"/>
      <c r="F194" s="66"/>
    </row>
    <row r="195">
      <c r="A195" s="84"/>
      <c r="B195" s="12"/>
      <c r="C195" s="12"/>
      <c r="D195" s="108"/>
      <c r="F195" s="66"/>
    </row>
    <row r="196">
      <c r="A196" s="84"/>
      <c r="B196" s="12"/>
      <c r="C196" s="12"/>
      <c r="D196" s="108"/>
      <c r="F196" s="66"/>
    </row>
    <row r="197">
      <c r="A197" s="84"/>
      <c r="B197" s="12"/>
      <c r="C197" s="12"/>
      <c r="D197" s="108"/>
      <c r="F197" s="66"/>
    </row>
    <row r="198">
      <c r="A198" s="84"/>
      <c r="B198" s="12"/>
      <c r="C198" s="12"/>
      <c r="D198" s="108"/>
      <c r="F198" s="66"/>
    </row>
    <row r="199">
      <c r="A199" s="84"/>
      <c r="B199" s="12"/>
      <c r="C199" s="12"/>
      <c r="D199" s="108"/>
      <c r="F199" s="66"/>
    </row>
    <row r="200">
      <c r="A200" s="84"/>
      <c r="B200" s="12"/>
      <c r="C200" s="12"/>
      <c r="D200" s="108"/>
      <c r="F200" s="66"/>
    </row>
    <row r="201">
      <c r="A201" s="84"/>
      <c r="B201" s="12"/>
      <c r="C201" s="12"/>
      <c r="D201" s="108"/>
      <c r="F201" s="66"/>
    </row>
    <row r="202">
      <c r="A202" s="84"/>
      <c r="B202" s="12"/>
      <c r="C202" s="12"/>
      <c r="D202" s="108"/>
      <c r="F202" s="66"/>
    </row>
    <row r="203">
      <c r="A203" s="84"/>
      <c r="B203" s="12"/>
      <c r="C203" s="12"/>
      <c r="D203" s="108"/>
      <c r="F203" s="66"/>
    </row>
    <row r="204">
      <c r="A204" s="84"/>
      <c r="B204" s="12"/>
      <c r="C204" s="12"/>
      <c r="D204" s="108"/>
      <c r="F204" s="66"/>
    </row>
    <row r="205">
      <c r="A205" s="84"/>
      <c r="B205" s="12"/>
      <c r="C205" s="12"/>
      <c r="D205" s="108"/>
      <c r="F205" s="66"/>
    </row>
    <row r="206">
      <c r="A206" s="84"/>
      <c r="B206" s="12"/>
      <c r="C206" s="12"/>
      <c r="D206" s="108"/>
      <c r="F206" s="66"/>
    </row>
    <row r="207">
      <c r="A207" s="84"/>
      <c r="B207" s="12"/>
      <c r="C207" s="12"/>
      <c r="D207" s="108"/>
      <c r="F207" s="66"/>
    </row>
    <row r="208">
      <c r="A208" s="84"/>
      <c r="B208" s="12"/>
      <c r="C208" s="12"/>
      <c r="D208" s="108"/>
      <c r="F208" s="66"/>
    </row>
    <row r="209">
      <c r="A209" s="84"/>
      <c r="B209" s="12"/>
      <c r="C209" s="12"/>
      <c r="D209" s="108"/>
      <c r="F209" s="66"/>
    </row>
    <row r="210">
      <c r="A210" s="84"/>
      <c r="B210" s="12"/>
      <c r="C210" s="12"/>
      <c r="D210" s="108"/>
      <c r="F210" s="66"/>
    </row>
    <row r="211">
      <c r="A211" s="84"/>
      <c r="B211" s="12"/>
      <c r="C211" s="12"/>
      <c r="D211" s="108"/>
      <c r="F211" s="66"/>
    </row>
    <row r="212">
      <c r="A212" s="84"/>
      <c r="B212" s="12"/>
      <c r="C212" s="12"/>
      <c r="D212" s="108"/>
      <c r="F212" s="66"/>
    </row>
    <row r="213">
      <c r="A213" s="84"/>
      <c r="B213" s="12"/>
      <c r="C213" s="12"/>
      <c r="D213" s="108"/>
      <c r="F213" s="66"/>
    </row>
    <row r="214">
      <c r="A214" s="84"/>
      <c r="B214" s="12"/>
      <c r="C214" s="12"/>
      <c r="D214" s="108"/>
      <c r="F214" s="66"/>
    </row>
    <row r="215">
      <c r="A215" s="84"/>
      <c r="B215" s="12"/>
      <c r="C215" s="12"/>
      <c r="D215" s="108"/>
      <c r="F215" s="66"/>
    </row>
    <row r="216">
      <c r="A216" s="84"/>
      <c r="B216" s="12"/>
      <c r="C216" s="12"/>
      <c r="D216" s="108"/>
      <c r="F216" s="66"/>
    </row>
    <row r="217">
      <c r="A217" s="84"/>
      <c r="B217" s="12"/>
      <c r="C217" s="12"/>
      <c r="D217" s="108"/>
      <c r="F217" s="66"/>
    </row>
    <row r="218">
      <c r="A218" s="84"/>
      <c r="B218" s="12"/>
      <c r="C218" s="12"/>
      <c r="D218" s="108"/>
      <c r="F218" s="66"/>
    </row>
    <row r="219">
      <c r="A219" s="84"/>
      <c r="B219" s="12"/>
      <c r="C219" s="12"/>
      <c r="D219" s="108"/>
      <c r="F219" s="66"/>
    </row>
    <row r="220">
      <c r="A220" s="84"/>
      <c r="B220" s="12"/>
      <c r="C220" s="12"/>
      <c r="D220" s="108"/>
      <c r="F220" s="66"/>
    </row>
    <row r="221">
      <c r="A221" s="84"/>
      <c r="B221" s="12"/>
      <c r="C221" s="12"/>
      <c r="D221" s="108"/>
      <c r="F221" s="66"/>
    </row>
    <row r="222">
      <c r="A222" s="84"/>
      <c r="B222" s="12"/>
      <c r="C222" s="12"/>
      <c r="D222" s="108"/>
      <c r="F222" s="66"/>
    </row>
    <row r="223">
      <c r="A223" s="84"/>
      <c r="B223" s="12"/>
      <c r="C223" s="12"/>
      <c r="D223" s="108"/>
      <c r="F223" s="66"/>
    </row>
    <row r="224">
      <c r="A224" s="84"/>
      <c r="B224" s="12"/>
      <c r="C224" s="12"/>
      <c r="D224" s="108"/>
      <c r="F224" s="66"/>
    </row>
    <row r="225">
      <c r="A225" s="84"/>
      <c r="B225" s="12"/>
      <c r="C225" s="12"/>
      <c r="D225" s="108"/>
      <c r="F225" s="66"/>
    </row>
    <row r="226">
      <c r="A226" s="84"/>
      <c r="B226" s="12"/>
      <c r="C226" s="12"/>
      <c r="D226" s="108"/>
      <c r="F226" s="66"/>
    </row>
    <row r="227">
      <c r="A227" s="84"/>
      <c r="B227" s="12"/>
      <c r="C227" s="12"/>
      <c r="D227" s="108"/>
      <c r="F227" s="66"/>
    </row>
    <row r="228">
      <c r="A228" s="84"/>
      <c r="B228" s="12"/>
      <c r="C228" s="12"/>
      <c r="D228" s="108"/>
      <c r="F228" s="66"/>
    </row>
    <row r="229">
      <c r="A229" s="84"/>
      <c r="B229" s="12"/>
      <c r="C229" s="12"/>
      <c r="D229" s="108"/>
      <c r="F229" s="66"/>
    </row>
    <row r="230">
      <c r="A230" s="84"/>
      <c r="B230" s="12"/>
      <c r="C230" s="12"/>
      <c r="D230" s="108"/>
      <c r="F230" s="66"/>
    </row>
    <row r="231">
      <c r="A231" s="84"/>
      <c r="B231" s="12"/>
      <c r="C231" s="12"/>
      <c r="D231" s="108"/>
      <c r="F231" s="66"/>
    </row>
    <row r="232">
      <c r="A232" s="84"/>
      <c r="B232" s="12"/>
      <c r="C232" s="12"/>
      <c r="D232" s="108"/>
      <c r="F232" s="66"/>
    </row>
    <row r="233">
      <c r="A233" s="84"/>
      <c r="B233" s="12"/>
      <c r="C233" s="12"/>
      <c r="D233" s="108"/>
      <c r="F233" s="66"/>
    </row>
    <row r="234">
      <c r="A234" s="84"/>
      <c r="B234" s="12"/>
      <c r="C234" s="12"/>
      <c r="D234" s="108"/>
      <c r="F234" s="66"/>
    </row>
    <row r="235">
      <c r="A235" s="84"/>
      <c r="B235" s="12"/>
      <c r="C235" s="12"/>
      <c r="D235" s="108"/>
      <c r="F235" s="66"/>
    </row>
    <row r="236">
      <c r="A236" s="84"/>
      <c r="B236" s="12"/>
      <c r="C236" s="12"/>
      <c r="D236" s="108"/>
      <c r="F236" s="66"/>
    </row>
    <row r="237">
      <c r="A237" s="84"/>
      <c r="B237" s="12"/>
      <c r="C237" s="12"/>
      <c r="D237" s="108"/>
      <c r="F237" s="66"/>
    </row>
    <row r="238">
      <c r="A238" s="84"/>
      <c r="B238" s="12"/>
      <c r="C238" s="12"/>
      <c r="D238" s="108"/>
      <c r="F238" s="66"/>
    </row>
    <row r="239">
      <c r="A239" s="84"/>
      <c r="B239" s="12"/>
      <c r="C239" s="12"/>
      <c r="D239" s="108"/>
      <c r="F239" s="66"/>
    </row>
    <row r="240">
      <c r="A240" s="84"/>
      <c r="B240" s="12"/>
      <c r="C240" s="12"/>
      <c r="D240" s="108"/>
      <c r="F240" s="66"/>
    </row>
    <row r="241">
      <c r="A241" s="84"/>
      <c r="B241" s="12"/>
      <c r="C241" s="12"/>
      <c r="D241" s="108"/>
      <c r="F241" s="66"/>
    </row>
    <row r="242">
      <c r="A242" s="84"/>
      <c r="B242" s="12"/>
      <c r="C242" s="12"/>
      <c r="D242" s="108"/>
      <c r="F242" s="66"/>
    </row>
    <row r="243">
      <c r="A243" s="84"/>
      <c r="B243" s="12"/>
      <c r="C243" s="12"/>
      <c r="D243" s="108"/>
      <c r="F243" s="66"/>
    </row>
    <row r="244">
      <c r="A244" s="84"/>
      <c r="B244" s="12"/>
      <c r="C244" s="12"/>
      <c r="D244" s="108"/>
      <c r="F244" s="66"/>
    </row>
    <row r="245">
      <c r="A245" s="84"/>
      <c r="B245" s="12"/>
      <c r="C245" s="12"/>
      <c r="D245" s="108"/>
      <c r="F245" s="66"/>
    </row>
    <row r="246">
      <c r="A246" s="84"/>
      <c r="B246" s="12"/>
      <c r="C246" s="12"/>
      <c r="D246" s="108"/>
      <c r="F246" s="66"/>
    </row>
    <row r="247">
      <c r="A247" s="84"/>
      <c r="B247" s="12"/>
      <c r="C247" s="12"/>
      <c r="D247" s="108"/>
      <c r="F247" s="66"/>
    </row>
    <row r="248">
      <c r="A248" s="84"/>
      <c r="B248" s="12"/>
      <c r="C248" s="12"/>
      <c r="D248" s="108"/>
      <c r="F248" s="66"/>
    </row>
    <row r="249">
      <c r="A249" s="84"/>
      <c r="B249" s="12"/>
      <c r="C249" s="12"/>
      <c r="D249" s="108"/>
      <c r="F249" s="66"/>
    </row>
    <row r="250">
      <c r="A250" s="84"/>
      <c r="B250" s="12"/>
      <c r="C250" s="12"/>
      <c r="D250" s="108"/>
      <c r="F250" s="66"/>
    </row>
    <row r="251">
      <c r="A251" s="84"/>
      <c r="B251" s="12"/>
      <c r="C251" s="12"/>
      <c r="D251" s="108"/>
      <c r="F251" s="66"/>
    </row>
    <row r="252">
      <c r="A252" s="84"/>
      <c r="B252" s="12"/>
      <c r="C252" s="12"/>
      <c r="D252" s="108"/>
      <c r="F252" s="66"/>
    </row>
    <row r="253">
      <c r="A253" s="84"/>
      <c r="B253" s="12"/>
      <c r="C253" s="12"/>
      <c r="D253" s="108"/>
      <c r="F253" s="66"/>
    </row>
    <row r="254">
      <c r="A254" s="84"/>
      <c r="B254" s="12"/>
      <c r="C254" s="12"/>
      <c r="D254" s="108"/>
      <c r="F254" s="66"/>
    </row>
    <row r="255">
      <c r="A255" s="84"/>
      <c r="B255" s="12"/>
      <c r="C255" s="12"/>
      <c r="D255" s="108"/>
      <c r="F255" s="66"/>
    </row>
    <row r="256">
      <c r="A256" s="84"/>
      <c r="B256" s="12"/>
      <c r="C256" s="12"/>
      <c r="D256" s="108"/>
      <c r="F256" s="66"/>
    </row>
    <row r="257">
      <c r="A257" s="84"/>
      <c r="B257" s="12"/>
      <c r="C257" s="12"/>
      <c r="D257" s="108"/>
      <c r="F257" s="66"/>
    </row>
    <row r="258">
      <c r="A258" s="84"/>
      <c r="B258" s="12"/>
      <c r="C258" s="12"/>
      <c r="D258" s="108"/>
      <c r="F258" s="66"/>
    </row>
    <row r="259">
      <c r="A259" s="84"/>
      <c r="B259" s="12"/>
      <c r="C259" s="12"/>
      <c r="D259" s="108"/>
      <c r="F259" s="66"/>
    </row>
    <row r="260">
      <c r="A260" s="84"/>
      <c r="B260" s="12"/>
      <c r="C260" s="12"/>
      <c r="D260" s="108"/>
      <c r="F260" s="66"/>
    </row>
    <row r="261">
      <c r="A261" s="84"/>
      <c r="B261" s="12"/>
      <c r="C261" s="12"/>
      <c r="D261" s="108"/>
      <c r="F261" s="66"/>
    </row>
    <row r="262">
      <c r="A262" s="84"/>
      <c r="B262" s="12"/>
      <c r="C262" s="12"/>
      <c r="D262" s="108"/>
      <c r="F262" s="66"/>
    </row>
    <row r="263">
      <c r="A263" s="84"/>
      <c r="B263" s="12"/>
      <c r="C263" s="12"/>
      <c r="D263" s="108"/>
      <c r="F263" s="66"/>
    </row>
    <row r="264">
      <c r="A264" s="84"/>
      <c r="B264" s="12"/>
      <c r="C264" s="12"/>
      <c r="D264" s="108"/>
      <c r="F264" s="66"/>
    </row>
    <row r="265">
      <c r="A265" s="84"/>
      <c r="B265" s="12"/>
      <c r="C265" s="12"/>
      <c r="D265" s="108"/>
      <c r="F265" s="66"/>
    </row>
    <row r="266">
      <c r="A266" s="84"/>
      <c r="B266" s="12"/>
      <c r="C266" s="12"/>
      <c r="D266" s="108"/>
      <c r="F266" s="66"/>
    </row>
    <row r="267">
      <c r="A267" s="84"/>
      <c r="B267" s="12"/>
      <c r="C267" s="12"/>
      <c r="D267" s="108"/>
      <c r="F267" s="66"/>
    </row>
    <row r="268">
      <c r="A268" s="84"/>
      <c r="B268" s="12"/>
      <c r="C268" s="12"/>
      <c r="D268" s="108"/>
      <c r="F268" s="66"/>
    </row>
    <row r="269">
      <c r="A269" s="84"/>
      <c r="B269" s="12"/>
      <c r="C269" s="12"/>
      <c r="D269" s="108"/>
      <c r="F269" s="66"/>
    </row>
    <row r="270">
      <c r="A270" s="84"/>
      <c r="B270" s="12"/>
      <c r="C270" s="12"/>
      <c r="D270" s="108"/>
      <c r="F270" s="66"/>
    </row>
    <row r="271">
      <c r="A271" s="84"/>
      <c r="B271" s="12"/>
      <c r="C271" s="12"/>
      <c r="D271" s="108"/>
      <c r="F271" s="66"/>
    </row>
    <row r="272">
      <c r="A272" s="84"/>
      <c r="B272" s="12"/>
      <c r="C272" s="12"/>
      <c r="D272" s="108"/>
      <c r="F272" s="66"/>
    </row>
    <row r="273">
      <c r="A273" s="84"/>
      <c r="B273" s="12"/>
      <c r="C273" s="12"/>
      <c r="D273" s="108"/>
      <c r="F273" s="66"/>
    </row>
    <row r="274">
      <c r="A274" s="84"/>
      <c r="B274" s="12"/>
      <c r="C274" s="12"/>
      <c r="D274" s="108"/>
      <c r="F274" s="66"/>
    </row>
    <row r="275">
      <c r="A275" s="84"/>
      <c r="B275" s="12"/>
      <c r="C275" s="12"/>
      <c r="D275" s="108"/>
      <c r="F275" s="66"/>
    </row>
    <row r="276">
      <c r="A276" s="84"/>
      <c r="B276" s="12"/>
      <c r="C276" s="12"/>
      <c r="D276" s="108"/>
      <c r="F276" s="66"/>
    </row>
    <row r="277">
      <c r="A277" s="84"/>
      <c r="B277" s="12"/>
      <c r="C277" s="12"/>
      <c r="D277" s="108"/>
      <c r="F277" s="66"/>
    </row>
    <row r="278">
      <c r="A278" s="84"/>
      <c r="B278" s="12"/>
      <c r="C278" s="12"/>
      <c r="D278" s="108"/>
      <c r="F278" s="66"/>
    </row>
    <row r="279">
      <c r="A279" s="84"/>
      <c r="B279" s="12"/>
      <c r="C279" s="12"/>
      <c r="D279" s="108"/>
      <c r="F279" s="66"/>
    </row>
    <row r="280">
      <c r="A280" s="84"/>
      <c r="B280" s="12"/>
      <c r="C280" s="12"/>
      <c r="D280" s="108"/>
      <c r="F280" s="66"/>
    </row>
    <row r="281">
      <c r="A281" s="84"/>
      <c r="B281" s="12"/>
      <c r="C281" s="12"/>
      <c r="D281" s="108"/>
      <c r="F281" s="66"/>
    </row>
    <row r="282">
      <c r="A282" s="84"/>
      <c r="B282" s="12"/>
      <c r="C282" s="12"/>
      <c r="D282" s="108"/>
      <c r="F282" s="66"/>
    </row>
    <row r="283">
      <c r="A283" s="84"/>
      <c r="B283" s="12"/>
      <c r="C283" s="12"/>
      <c r="D283" s="108"/>
      <c r="F283" s="66"/>
    </row>
    <row r="284">
      <c r="A284" s="84"/>
      <c r="B284" s="12"/>
      <c r="C284" s="12"/>
      <c r="D284" s="108"/>
      <c r="F284" s="66"/>
    </row>
    <row r="285">
      <c r="A285" s="84"/>
      <c r="B285" s="12"/>
      <c r="C285" s="12"/>
      <c r="D285" s="108"/>
      <c r="F285" s="66"/>
    </row>
    <row r="286">
      <c r="A286" s="84"/>
      <c r="B286" s="12"/>
      <c r="C286" s="12"/>
      <c r="D286" s="108"/>
      <c r="F286" s="66"/>
    </row>
    <row r="287">
      <c r="A287" s="84"/>
      <c r="B287" s="12"/>
      <c r="C287" s="12"/>
      <c r="D287" s="108"/>
      <c r="F287" s="66"/>
    </row>
    <row r="288">
      <c r="A288" s="84"/>
      <c r="B288" s="12"/>
      <c r="C288" s="12"/>
      <c r="D288" s="108"/>
      <c r="F288" s="66"/>
    </row>
    <row r="289">
      <c r="A289" s="84"/>
      <c r="B289" s="12"/>
      <c r="C289" s="12"/>
      <c r="D289" s="108"/>
      <c r="F289" s="66"/>
    </row>
    <row r="290">
      <c r="A290" s="84"/>
      <c r="B290" s="12"/>
      <c r="C290" s="12"/>
      <c r="D290" s="108"/>
      <c r="F290" s="66"/>
    </row>
    <row r="291">
      <c r="A291" s="84"/>
      <c r="B291" s="12"/>
      <c r="C291" s="12"/>
      <c r="D291" s="108"/>
      <c r="F291" s="66"/>
    </row>
    <row r="292">
      <c r="A292" s="84"/>
      <c r="B292" s="12"/>
      <c r="C292" s="12"/>
      <c r="D292" s="108"/>
      <c r="F292" s="66"/>
    </row>
    <row r="293">
      <c r="A293" s="84"/>
      <c r="B293" s="12"/>
      <c r="C293" s="12"/>
      <c r="D293" s="108"/>
      <c r="F293" s="66"/>
    </row>
    <row r="294">
      <c r="A294" s="84"/>
      <c r="B294" s="12"/>
      <c r="C294" s="12"/>
      <c r="D294" s="108"/>
      <c r="F294" s="66"/>
    </row>
    <row r="295">
      <c r="A295" s="84"/>
      <c r="B295" s="12"/>
      <c r="C295" s="12"/>
      <c r="D295" s="108"/>
      <c r="F295" s="66"/>
    </row>
    <row r="296">
      <c r="A296" s="84"/>
      <c r="B296" s="12"/>
      <c r="C296" s="12"/>
      <c r="D296" s="108"/>
      <c r="F296" s="66"/>
    </row>
    <row r="297">
      <c r="A297" s="84"/>
      <c r="B297" s="12"/>
      <c r="C297" s="12"/>
      <c r="D297" s="108"/>
      <c r="F297" s="66"/>
    </row>
    <row r="298">
      <c r="A298" s="84"/>
      <c r="B298" s="12"/>
      <c r="C298" s="12"/>
      <c r="D298" s="108"/>
      <c r="F298" s="66"/>
    </row>
    <row r="299">
      <c r="A299" s="84"/>
      <c r="B299" s="12"/>
      <c r="C299" s="12"/>
      <c r="D299" s="108"/>
      <c r="F299" s="66"/>
    </row>
    <row r="300">
      <c r="A300" s="84"/>
      <c r="B300" s="12"/>
      <c r="C300" s="12"/>
      <c r="D300" s="108"/>
      <c r="F300" s="66"/>
    </row>
    <row r="301">
      <c r="A301" s="84"/>
      <c r="B301" s="12"/>
      <c r="C301" s="12"/>
      <c r="D301" s="108"/>
      <c r="F301" s="66"/>
    </row>
    <row r="302">
      <c r="A302" s="84"/>
      <c r="B302" s="12"/>
      <c r="C302" s="12"/>
      <c r="D302" s="108"/>
      <c r="F302" s="66"/>
    </row>
    <row r="303">
      <c r="A303" s="84"/>
      <c r="B303" s="12"/>
      <c r="C303" s="12"/>
      <c r="D303" s="108"/>
      <c r="F303" s="66"/>
    </row>
    <row r="304">
      <c r="A304" s="84"/>
      <c r="B304" s="12"/>
      <c r="C304" s="12"/>
      <c r="D304" s="108"/>
      <c r="F304" s="66"/>
    </row>
    <row r="305">
      <c r="A305" s="84"/>
      <c r="B305" s="12"/>
      <c r="C305" s="12"/>
      <c r="D305" s="108"/>
      <c r="F305" s="66"/>
    </row>
    <row r="306">
      <c r="A306" s="84"/>
      <c r="B306" s="12"/>
      <c r="C306" s="12"/>
      <c r="D306" s="108"/>
      <c r="F306" s="66"/>
    </row>
    <row r="307">
      <c r="A307" s="84"/>
      <c r="B307" s="12"/>
      <c r="C307" s="12"/>
      <c r="D307" s="108"/>
      <c r="F307" s="66"/>
    </row>
    <row r="308">
      <c r="A308" s="84"/>
      <c r="B308" s="12"/>
      <c r="C308" s="12"/>
      <c r="D308" s="108"/>
      <c r="F308" s="66"/>
    </row>
    <row r="309">
      <c r="A309" s="84"/>
      <c r="B309" s="12"/>
      <c r="C309" s="12"/>
      <c r="D309" s="108"/>
      <c r="F309" s="66"/>
    </row>
    <row r="310">
      <c r="A310" s="84"/>
      <c r="B310" s="12"/>
      <c r="C310" s="12"/>
      <c r="D310" s="108"/>
      <c r="F310" s="66"/>
    </row>
    <row r="311">
      <c r="A311" s="84"/>
      <c r="B311" s="12"/>
      <c r="C311" s="12"/>
      <c r="D311" s="108"/>
      <c r="F311" s="66"/>
    </row>
    <row r="312">
      <c r="A312" s="84"/>
      <c r="B312" s="12"/>
      <c r="C312" s="12"/>
      <c r="D312" s="108"/>
      <c r="F312" s="66"/>
    </row>
    <row r="313">
      <c r="A313" s="84"/>
      <c r="B313" s="12"/>
      <c r="C313" s="12"/>
      <c r="D313" s="108"/>
      <c r="F313" s="66"/>
    </row>
    <row r="314">
      <c r="A314" s="84"/>
      <c r="B314" s="12"/>
      <c r="C314" s="12"/>
      <c r="D314" s="108"/>
      <c r="F314" s="66"/>
    </row>
    <row r="315">
      <c r="A315" s="84"/>
      <c r="B315" s="12"/>
      <c r="C315" s="12"/>
      <c r="D315" s="108"/>
      <c r="F315" s="66"/>
    </row>
    <row r="316">
      <c r="A316" s="84"/>
      <c r="B316" s="12"/>
      <c r="C316" s="12"/>
      <c r="D316" s="108"/>
      <c r="F316" s="66"/>
    </row>
    <row r="317">
      <c r="A317" s="84"/>
      <c r="B317" s="12"/>
      <c r="C317" s="12"/>
      <c r="D317" s="108"/>
      <c r="F317" s="66"/>
    </row>
    <row r="318">
      <c r="A318" s="84"/>
      <c r="B318" s="12"/>
      <c r="C318" s="12"/>
      <c r="D318" s="108"/>
      <c r="F318" s="66"/>
    </row>
    <row r="319">
      <c r="A319" s="84"/>
      <c r="B319" s="12"/>
      <c r="C319" s="12"/>
      <c r="D319" s="108"/>
      <c r="F319" s="66"/>
    </row>
    <row r="320">
      <c r="A320" s="84"/>
      <c r="B320" s="12"/>
      <c r="C320" s="12"/>
      <c r="D320" s="108"/>
      <c r="F320" s="66"/>
    </row>
    <row r="321">
      <c r="A321" s="84"/>
      <c r="B321" s="12"/>
      <c r="C321" s="12"/>
      <c r="D321" s="108"/>
      <c r="F321" s="66"/>
    </row>
    <row r="322">
      <c r="A322" s="84"/>
      <c r="B322" s="12"/>
      <c r="C322" s="12"/>
      <c r="D322" s="108"/>
      <c r="F322" s="66"/>
    </row>
    <row r="323">
      <c r="A323" s="84"/>
      <c r="B323" s="12"/>
      <c r="C323" s="12"/>
      <c r="D323" s="108"/>
      <c r="F323" s="66"/>
    </row>
    <row r="324">
      <c r="A324" s="84"/>
      <c r="B324" s="12"/>
      <c r="C324" s="12"/>
      <c r="D324" s="108"/>
      <c r="F324" s="66"/>
    </row>
    <row r="325">
      <c r="A325" s="84"/>
      <c r="B325" s="12"/>
      <c r="C325" s="12"/>
      <c r="D325" s="108"/>
      <c r="F325" s="66"/>
    </row>
    <row r="326">
      <c r="A326" s="84"/>
      <c r="B326" s="12"/>
      <c r="C326" s="12"/>
      <c r="D326" s="108"/>
      <c r="F326" s="66"/>
    </row>
    <row r="327">
      <c r="A327" s="84"/>
      <c r="B327" s="12"/>
      <c r="C327" s="12"/>
      <c r="D327" s="108"/>
      <c r="F327" s="66"/>
    </row>
    <row r="328">
      <c r="A328" s="84"/>
      <c r="B328" s="12"/>
      <c r="C328" s="12"/>
      <c r="D328" s="108"/>
      <c r="F328" s="66"/>
    </row>
    <row r="329">
      <c r="A329" s="84"/>
      <c r="B329" s="12"/>
      <c r="C329" s="12"/>
      <c r="D329" s="108"/>
      <c r="F329" s="66"/>
    </row>
    <row r="330">
      <c r="A330" s="84"/>
      <c r="B330" s="12"/>
      <c r="C330" s="12"/>
      <c r="D330" s="108"/>
      <c r="F330" s="66"/>
    </row>
    <row r="331">
      <c r="A331" s="84"/>
      <c r="B331" s="12"/>
      <c r="C331" s="12"/>
      <c r="D331" s="108"/>
      <c r="F331" s="66"/>
    </row>
    <row r="332">
      <c r="A332" s="84"/>
      <c r="B332" s="12"/>
      <c r="C332" s="12"/>
      <c r="D332" s="108"/>
      <c r="F332" s="66"/>
    </row>
    <row r="333">
      <c r="A333" s="84"/>
      <c r="B333" s="12"/>
      <c r="C333" s="12"/>
      <c r="D333" s="108"/>
      <c r="F333" s="66"/>
    </row>
    <row r="334">
      <c r="A334" s="84"/>
      <c r="B334" s="12"/>
      <c r="C334" s="12"/>
      <c r="D334" s="108"/>
      <c r="F334" s="66"/>
    </row>
    <row r="335">
      <c r="A335" s="84"/>
      <c r="B335" s="12"/>
      <c r="C335" s="12"/>
      <c r="D335" s="108"/>
      <c r="F335" s="66"/>
    </row>
    <row r="336">
      <c r="A336" s="84"/>
      <c r="B336" s="12"/>
      <c r="C336" s="12"/>
      <c r="D336" s="108"/>
      <c r="F336" s="66"/>
    </row>
    <row r="337">
      <c r="A337" s="84"/>
      <c r="B337" s="12"/>
      <c r="C337" s="12"/>
      <c r="D337" s="108"/>
      <c r="F337" s="66"/>
    </row>
    <row r="338">
      <c r="A338" s="84"/>
      <c r="B338" s="12"/>
      <c r="C338" s="12"/>
      <c r="D338" s="108"/>
      <c r="F338" s="66"/>
    </row>
    <row r="339">
      <c r="A339" s="84"/>
      <c r="B339" s="12"/>
      <c r="C339" s="12"/>
      <c r="D339" s="108"/>
      <c r="F339" s="66"/>
    </row>
    <row r="340">
      <c r="A340" s="84"/>
      <c r="B340" s="12"/>
      <c r="C340" s="12"/>
      <c r="D340" s="108"/>
      <c r="F340" s="66"/>
    </row>
    <row r="341">
      <c r="A341" s="84"/>
      <c r="B341" s="12"/>
      <c r="C341" s="12"/>
      <c r="D341" s="108"/>
      <c r="F341" s="66"/>
    </row>
    <row r="342">
      <c r="A342" s="84"/>
      <c r="B342" s="12"/>
      <c r="C342" s="12"/>
      <c r="D342" s="108"/>
      <c r="F342" s="66"/>
    </row>
    <row r="343">
      <c r="A343" s="84"/>
      <c r="B343" s="12"/>
      <c r="C343" s="12"/>
      <c r="D343" s="108"/>
      <c r="F343" s="66"/>
    </row>
    <row r="344">
      <c r="A344" s="84"/>
      <c r="B344" s="12"/>
      <c r="C344" s="12"/>
      <c r="D344" s="108"/>
      <c r="F344" s="66"/>
    </row>
    <row r="345">
      <c r="A345" s="84"/>
      <c r="B345" s="12"/>
      <c r="C345" s="12"/>
      <c r="D345" s="108"/>
      <c r="F345" s="66"/>
    </row>
    <row r="346">
      <c r="A346" s="84"/>
      <c r="B346" s="12"/>
      <c r="C346" s="12"/>
      <c r="D346" s="108"/>
      <c r="F346" s="66"/>
    </row>
    <row r="347">
      <c r="A347" s="84"/>
      <c r="B347" s="12"/>
      <c r="C347" s="12"/>
      <c r="D347" s="108"/>
      <c r="F347" s="66"/>
    </row>
    <row r="348">
      <c r="A348" s="84"/>
      <c r="B348" s="12"/>
      <c r="C348" s="12"/>
      <c r="D348" s="108"/>
      <c r="F348" s="66"/>
    </row>
    <row r="349">
      <c r="A349" s="84"/>
      <c r="B349" s="12"/>
      <c r="C349" s="12"/>
      <c r="D349" s="108"/>
      <c r="F349" s="66"/>
    </row>
    <row r="350">
      <c r="A350" s="84"/>
      <c r="B350" s="12"/>
      <c r="C350" s="12"/>
      <c r="D350" s="108"/>
      <c r="F350" s="66"/>
    </row>
    <row r="351">
      <c r="A351" s="84"/>
      <c r="B351" s="12"/>
      <c r="C351" s="12"/>
      <c r="D351" s="108"/>
      <c r="F351" s="66"/>
    </row>
    <row r="352">
      <c r="A352" s="84"/>
      <c r="B352" s="12"/>
      <c r="C352" s="12"/>
      <c r="D352" s="108"/>
      <c r="F352" s="66"/>
    </row>
    <row r="353">
      <c r="A353" s="84"/>
      <c r="B353" s="12"/>
      <c r="C353" s="12"/>
      <c r="D353" s="108"/>
      <c r="F353" s="66"/>
    </row>
    <row r="354">
      <c r="A354" s="84"/>
      <c r="B354" s="12"/>
      <c r="C354" s="12"/>
      <c r="D354" s="108"/>
      <c r="F354" s="66"/>
    </row>
    <row r="355">
      <c r="A355" s="84"/>
      <c r="B355" s="12"/>
      <c r="C355" s="12"/>
      <c r="D355" s="108"/>
      <c r="F355" s="66"/>
    </row>
    <row r="356">
      <c r="A356" s="84"/>
      <c r="B356" s="12"/>
      <c r="C356" s="12"/>
      <c r="D356" s="108"/>
      <c r="F356" s="66"/>
    </row>
    <row r="357">
      <c r="A357" s="84"/>
      <c r="B357" s="12"/>
      <c r="C357" s="12"/>
      <c r="D357" s="108"/>
      <c r="F357" s="66"/>
    </row>
    <row r="358">
      <c r="A358" s="84"/>
      <c r="B358" s="12"/>
      <c r="C358" s="12"/>
      <c r="D358" s="108"/>
      <c r="F358" s="66"/>
    </row>
    <row r="359">
      <c r="A359" s="84"/>
      <c r="B359" s="12"/>
      <c r="C359" s="12"/>
      <c r="D359" s="108"/>
      <c r="F359" s="66"/>
    </row>
    <row r="360">
      <c r="A360" s="84"/>
      <c r="B360" s="12"/>
      <c r="C360" s="12"/>
      <c r="D360" s="108"/>
      <c r="F360" s="66"/>
    </row>
    <row r="361">
      <c r="A361" s="84"/>
      <c r="B361" s="12"/>
      <c r="C361" s="12"/>
      <c r="D361" s="108"/>
      <c r="F361" s="66"/>
    </row>
    <row r="362">
      <c r="A362" s="84"/>
      <c r="B362" s="12"/>
      <c r="C362" s="12"/>
      <c r="D362" s="108"/>
      <c r="F362" s="66"/>
    </row>
    <row r="363">
      <c r="A363" s="84"/>
      <c r="B363" s="12"/>
      <c r="C363" s="12"/>
      <c r="D363" s="108"/>
      <c r="F363" s="66"/>
    </row>
    <row r="364">
      <c r="A364" s="84"/>
      <c r="B364" s="12"/>
      <c r="C364" s="12"/>
      <c r="D364" s="108"/>
      <c r="F364" s="66"/>
    </row>
    <row r="365">
      <c r="A365" s="84"/>
      <c r="B365" s="12"/>
      <c r="C365" s="12"/>
      <c r="D365" s="108"/>
      <c r="F365" s="66"/>
    </row>
    <row r="366">
      <c r="A366" s="84"/>
      <c r="B366" s="12"/>
      <c r="C366" s="12"/>
      <c r="D366" s="108"/>
      <c r="F366" s="66"/>
    </row>
    <row r="367">
      <c r="A367" s="84"/>
      <c r="B367" s="12"/>
      <c r="C367" s="12"/>
      <c r="D367" s="108"/>
      <c r="F367" s="66"/>
    </row>
    <row r="368">
      <c r="A368" s="84"/>
      <c r="B368" s="12"/>
      <c r="C368" s="12"/>
      <c r="D368" s="108"/>
      <c r="F368" s="66"/>
    </row>
    <row r="369">
      <c r="A369" s="84"/>
      <c r="B369" s="12"/>
      <c r="C369" s="12"/>
      <c r="D369" s="108"/>
      <c r="F369" s="66"/>
    </row>
    <row r="370">
      <c r="A370" s="84"/>
      <c r="B370" s="12"/>
      <c r="C370" s="12"/>
      <c r="D370" s="108"/>
      <c r="F370" s="66"/>
    </row>
    <row r="371">
      <c r="A371" s="84"/>
      <c r="B371" s="12"/>
      <c r="C371" s="12"/>
      <c r="D371" s="108"/>
      <c r="F371" s="66"/>
    </row>
    <row r="372">
      <c r="A372" s="84"/>
      <c r="B372" s="12"/>
      <c r="C372" s="12"/>
      <c r="D372" s="108"/>
      <c r="F372" s="66"/>
    </row>
    <row r="373">
      <c r="A373" s="84"/>
      <c r="B373" s="12"/>
      <c r="C373" s="12"/>
      <c r="D373" s="108"/>
      <c r="F373" s="66"/>
    </row>
    <row r="374">
      <c r="A374" s="84"/>
      <c r="B374" s="12"/>
      <c r="C374" s="12"/>
      <c r="D374" s="108"/>
      <c r="F374" s="66"/>
    </row>
    <row r="375">
      <c r="A375" s="84"/>
      <c r="B375" s="12"/>
      <c r="C375" s="12"/>
      <c r="D375" s="108"/>
      <c r="F375" s="66"/>
    </row>
    <row r="376">
      <c r="A376" s="84"/>
      <c r="B376" s="12"/>
      <c r="C376" s="12"/>
      <c r="D376" s="108"/>
      <c r="F376" s="66"/>
    </row>
    <row r="377">
      <c r="A377" s="84"/>
      <c r="B377" s="12"/>
      <c r="C377" s="12"/>
      <c r="D377" s="108"/>
      <c r="F377" s="66"/>
    </row>
    <row r="378">
      <c r="A378" s="84"/>
      <c r="B378" s="12"/>
      <c r="C378" s="12"/>
      <c r="D378" s="108"/>
      <c r="F378" s="66"/>
    </row>
    <row r="379">
      <c r="A379" s="84"/>
      <c r="B379" s="12"/>
      <c r="C379" s="12"/>
      <c r="D379" s="108"/>
      <c r="F379" s="66"/>
    </row>
    <row r="380">
      <c r="A380" s="84"/>
      <c r="B380" s="12"/>
      <c r="C380" s="12"/>
      <c r="D380" s="108"/>
      <c r="F380" s="66"/>
    </row>
    <row r="381">
      <c r="A381" s="84"/>
      <c r="B381" s="12"/>
      <c r="C381" s="12"/>
      <c r="D381" s="108"/>
      <c r="F381" s="66"/>
    </row>
    <row r="382">
      <c r="A382" s="84"/>
      <c r="B382" s="12"/>
      <c r="C382" s="12"/>
      <c r="D382" s="108"/>
      <c r="F382" s="66"/>
    </row>
    <row r="383">
      <c r="A383" s="84"/>
      <c r="B383" s="12"/>
      <c r="C383" s="12"/>
      <c r="D383" s="108"/>
      <c r="F383" s="66"/>
    </row>
    <row r="384">
      <c r="A384" s="84"/>
      <c r="B384" s="12"/>
      <c r="C384" s="12"/>
      <c r="D384" s="108"/>
      <c r="F384" s="66"/>
    </row>
    <row r="385">
      <c r="A385" s="84"/>
      <c r="B385" s="12"/>
      <c r="C385" s="12"/>
      <c r="D385" s="108"/>
      <c r="F385" s="66"/>
    </row>
    <row r="386">
      <c r="A386" s="84"/>
      <c r="B386" s="12"/>
      <c r="C386" s="12"/>
      <c r="D386" s="108"/>
      <c r="F386" s="66"/>
    </row>
    <row r="387">
      <c r="A387" s="84"/>
      <c r="B387" s="12"/>
      <c r="C387" s="12"/>
      <c r="D387" s="108"/>
      <c r="F387" s="66"/>
    </row>
    <row r="388">
      <c r="A388" s="84"/>
      <c r="B388" s="12"/>
      <c r="C388" s="12"/>
      <c r="D388" s="108"/>
      <c r="F388" s="66"/>
    </row>
    <row r="389">
      <c r="A389" s="84"/>
      <c r="B389" s="12"/>
      <c r="C389" s="12"/>
      <c r="D389" s="108"/>
      <c r="F389" s="66"/>
    </row>
    <row r="390">
      <c r="A390" s="84"/>
      <c r="B390" s="12"/>
      <c r="C390" s="12"/>
      <c r="D390" s="108"/>
      <c r="F390" s="66"/>
    </row>
    <row r="391">
      <c r="A391" s="84"/>
      <c r="B391" s="12"/>
      <c r="C391" s="12"/>
      <c r="D391" s="108"/>
      <c r="F391" s="66"/>
    </row>
    <row r="392">
      <c r="A392" s="84"/>
      <c r="B392" s="12"/>
      <c r="C392" s="12"/>
      <c r="D392" s="108"/>
      <c r="F392" s="66"/>
    </row>
    <row r="393">
      <c r="A393" s="84"/>
      <c r="B393" s="12"/>
      <c r="C393" s="12"/>
      <c r="D393" s="108"/>
      <c r="F393" s="66"/>
    </row>
    <row r="394">
      <c r="A394" s="84"/>
      <c r="B394" s="12"/>
      <c r="C394" s="12"/>
      <c r="D394" s="108"/>
      <c r="F394" s="66"/>
    </row>
    <row r="395">
      <c r="A395" s="84"/>
      <c r="B395" s="12"/>
      <c r="C395" s="12"/>
      <c r="D395" s="108"/>
      <c r="F395" s="66"/>
    </row>
    <row r="396">
      <c r="A396" s="84"/>
      <c r="B396" s="12"/>
      <c r="C396" s="12"/>
      <c r="D396" s="108"/>
      <c r="F396" s="66"/>
    </row>
    <row r="397">
      <c r="A397" s="84"/>
      <c r="B397" s="12"/>
      <c r="C397" s="12"/>
      <c r="D397" s="108"/>
      <c r="F397" s="66"/>
    </row>
    <row r="398">
      <c r="A398" s="84"/>
      <c r="B398" s="12"/>
      <c r="C398" s="12"/>
      <c r="D398" s="108"/>
      <c r="F398" s="66"/>
    </row>
    <row r="399">
      <c r="A399" s="84"/>
      <c r="B399" s="12"/>
      <c r="C399" s="12"/>
      <c r="D399" s="108"/>
      <c r="F399" s="66"/>
    </row>
    <row r="400">
      <c r="A400" s="84"/>
      <c r="B400" s="12"/>
      <c r="C400" s="12"/>
      <c r="D400" s="108"/>
      <c r="F400" s="66"/>
    </row>
    <row r="401">
      <c r="A401" s="84"/>
      <c r="B401" s="12"/>
      <c r="C401" s="12"/>
      <c r="D401" s="108"/>
      <c r="F401" s="66"/>
    </row>
    <row r="402">
      <c r="A402" s="84"/>
      <c r="B402" s="12"/>
      <c r="C402" s="12"/>
      <c r="D402" s="108"/>
      <c r="F402" s="66"/>
    </row>
    <row r="403">
      <c r="A403" s="84"/>
      <c r="B403" s="12"/>
      <c r="C403" s="12"/>
      <c r="D403" s="108"/>
      <c r="F403" s="66"/>
    </row>
    <row r="404">
      <c r="A404" s="84"/>
      <c r="B404" s="12"/>
      <c r="C404" s="12"/>
      <c r="D404" s="108"/>
      <c r="F404" s="66"/>
    </row>
    <row r="405">
      <c r="A405" s="84"/>
      <c r="B405" s="12"/>
      <c r="C405" s="12"/>
      <c r="D405" s="108"/>
      <c r="F405" s="66"/>
    </row>
    <row r="406">
      <c r="A406" s="84"/>
      <c r="B406" s="12"/>
      <c r="C406" s="12"/>
      <c r="D406" s="108"/>
      <c r="F406" s="66"/>
    </row>
    <row r="407">
      <c r="A407" s="84"/>
      <c r="B407" s="12"/>
      <c r="C407" s="12"/>
      <c r="D407" s="108"/>
      <c r="F407" s="66"/>
    </row>
    <row r="408">
      <c r="A408" s="84"/>
      <c r="B408" s="12"/>
      <c r="C408" s="12"/>
      <c r="D408" s="108"/>
      <c r="F408" s="66"/>
    </row>
    <row r="409">
      <c r="A409" s="84"/>
      <c r="B409" s="12"/>
      <c r="C409" s="12"/>
      <c r="D409" s="108"/>
      <c r="F409" s="66"/>
    </row>
    <row r="410">
      <c r="A410" s="84"/>
      <c r="B410" s="12"/>
      <c r="C410" s="12"/>
      <c r="D410" s="108"/>
      <c r="F410" s="66"/>
    </row>
    <row r="411">
      <c r="A411" s="84"/>
      <c r="B411" s="12"/>
      <c r="C411" s="12"/>
      <c r="D411" s="108"/>
      <c r="F411" s="66"/>
    </row>
    <row r="412">
      <c r="A412" s="84"/>
      <c r="B412" s="12"/>
      <c r="C412" s="12"/>
      <c r="D412" s="108"/>
      <c r="F412" s="66"/>
    </row>
    <row r="413">
      <c r="A413" s="84"/>
      <c r="B413" s="12"/>
      <c r="C413" s="12"/>
      <c r="D413" s="108"/>
      <c r="F413" s="66"/>
    </row>
    <row r="414">
      <c r="A414" s="84"/>
      <c r="B414" s="12"/>
      <c r="C414" s="12"/>
      <c r="D414" s="108"/>
      <c r="F414" s="66"/>
    </row>
    <row r="415">
      <c r="A415" s="84"/>
      <c r="B415" s="12"/>
      <c r="C415" s="12"/>
      <c r="D415" s="108"/>
      <c r="F415" s="66"/>
    </row>
    <row r="416">
      <c r="A416" s="84"/>
      <c r="B416" s="12"/>
      <c r="C416" s="12"/>
      <c r="D416" s="108"/>
      <c r="F416" s="66"/>
    </row>
    <row r="417">
      <c r="A417" s="84"/>
      <c r="B417" s="12"/>
      <c r="C417" s="12"/>
      <c r="D417" s="108"/>
      <c r="F417" s="66"/>
    </row>
    <row r="418">
      <c r="A418" s="84"/>
      <c r="B418" s="12"/>
      <c r="C418" s="12"/>
      <c r="D418" s="108"/>
      <c r="F418" s="66"/>
    </row>
    <row r="419">
      <c r="A419" s="84"/>
      <c r="B419" s="12"/>
      <c r="C419" s="12"/>
      <c r="D419" s="108"/>
      <c r="F419" s="66"/>
    </row>
    <row r="420">
      <c r="A420" s="84"/>
      <c r="B420" s="12"/>
      <c r="C420" s="12"/>
      <c r="D420" s="108"/>
      <c r="F420" s="66"/>
    </row>
    <row r="421">
      <c r="A421" s="84"/>
      <c r="B421" s="12"/>
      <c r="C421" s="12"/>
      <c r="D421" s="108"/>
      <c r="F421" s="66"/>
    </row>
    <row r="422">
      <c r="A422" s="84"/>
      <c r="B422" s="12"/>
      <c r="C422" s="12"/>
      <c r="D422" s="108"/>
      <c r="F422" s="66"/>
    </row>
    <row r="423">
      <c r="A423" s="84"/>
      <c r="B423" s="12"/>
      <c r="C423" s="12"/>
      <c r="D423" s="108"/>
      <c r="F423" s="66"/>
    </row>
    <row r="424">
      <c r="A424" s="84"/>
      <c r="B424" s="12"/>
      <c r="C424" s="12"/>
      <c r="D424" s="108"/>
      <c r="F424" s="66"/>
    </row>
    <row r="425">
      <c r="A425" s="84"/>
      <c r="B425" s="12"/>
      <c r="C425" s="12"/>
      <c r="D425" s="108"/>
      <c r="F425" s="66"/>
    </row>
    <row r="426">
      <c r="A426" s="84"/>
      <c r="B426" s="12"/>
      <c r="C426" s="12"/>
      <c r="D426" s="108"/>
      <c r="F426" s="66"/>
    </row>
    <row r="427">
      <c r="A427" s="84"/>
      <c r="B427" s="12"/>
      <c r="C427" s="12"/>
      <c r="D427" s="108"/>
      <c r="F427" s="66"/>
    </row>
    <row r="428">
      <c r="A428" s="84"/>
      <c r="B428" s="12"/>
      <c r="C428" s="12"/>
      <c r="D428" s="108"/>
      <c r="F428" s="66"/>
    </row>
    <row r="429">
      <c r="A429" s="84"/>
      <c r="B429" s="12"/>
      <c r="C429" s="12"/>
      <c r="D429" s="108"/>
      <c r="F429" s="66"/>
    </row>
    <row r="430">
      <c r="A430" s="84"/>
      <c r="B430" s="12"/>
      <c r="C430" s="12"/>
      <c r="D430" s="108"/>
      <c r="F430" s="66"/>
    </row>
    <row r="431">
      <c r="A431" s="84"/>
      <c r="B431" s="12"/>
      <c r="C431" s="12"/>
      <c r="D431" s="108"/>
      <c r="F431" s="66"/>
    </row>
    <row r="432">
      <c r="A432" s="84"/>
      <c r="B432" s="12"/>
      <c r="C432" s="12"/>
      <c r="D432" s="108"/>
      <c r="F432" s="66"/>
    </row>
    <row r="433">
      <c r="A433" s="84"/>
      <c r="B433" s="12"/>
      <c r="C433" s="12"/>
      <c r="D433" s="108"/>
      <c r="F433" s="66"/>
    </row>
    <row r="434">
      <c r="A434" s="84"/>
      <c r="B434" s="12"/>
      <c r="C434" s="12"/>
      <c r="D434" s="108"/>
      <c r="F434" s="66"/>
    </row>
    <row r="435">
      <c r="A435" s="84"/>
      <c r="B435" s="12"/>
      <c r="C435" s="12"/>
      <c r="D435" s="108"/>
      <c r="F435" s="66"/>
    </row>
    <row r="436">
      <c r="A436" s="84"/>
      <c r="B436" s="12"/>
      <c r="C436" s="12"/>
      <c r="D436" s="108"/>
      <c r="F436" s="66"/>
    </row>
    <row r="437">
      <c r="A437" s="84"/>
      <c r="B437" s="12"/>
      <c r="C437" s="12"/>
      <c r="D437" s="108"/>
      <c r="F437" s="66"/>
    </row>
    <row r="438">
      <c r="A438" s="84"/>
      <c r="B438" s="12"/>
      <c r="C438" s="12"/>
      <c r="D438" s="108"/>
      <c r="F438" s="66"/>
    </row>
    <row r="439">
      <c r="A439" s="84"/>
      <c r="B439" s="12"/>
      <c r="C439" s="12"/>
      <c r="D439" s="108"/>
      <c r="F439" s="66"/>
    </row>
    <row r="440">
      <c r="A440" s="84"/>
      <c r="B440" s="12"/>
      <c r="C440" s="12"/>
      <c r="D440" s="108"/>
      <c r="F440" s="66"/>
    </row>
    <row r="441">
      <c r="A441" s="84"/>
      <c r="B441" s="12"/>
      <c r="C441" s="12"/>
      <c r="D441" s="108"/>
      <c r="F441" s="66"/>
    </row>
    <row r="442">
      <c r="A442" s="84"/>
      <c r="B442" s="12"/>
      <c r="C442" s="12"/>
      <c r="D442" s="108"/>
      <c r="F442" s="66"/>
    </row>
    <row r="443">
      <c r="A443" s="84"/>
      <c r="B443" s="12"/>
      <c r="C443" s="12"/>
      <c r="D443" s="108"/>
      <c r="F443" s="66"/>
    </row>
    <row r="444">
      <c r="A444" s="84"/>
      <c r="B444" s="12"/>
      <c r="C444" s="12"/>
      <c r="D444" s="108"/>
      <c r="F444" s="66"/>
    </row>
    <row r="445">
      <c r="A445" s="84"/>
      <c r="B445" s="12"/>
      <c r="C445" s="12"/>
      <c r="D445" s="108"/>
      <c r="F445" s="66"/>
    </row>
    <row r="446">
      <c r="A446" s="84"/>
      <c r="B446" s="12"/>
      <c r="C446" s="12"/>
      <c r="D446" s="108"/>
      <c r="F446" s="66"/>
    </row>
    <row r="447">
      <c r="A447" s="84"/>
      <c r="B447" s="12"/>
      <c r="C447" s="12"/>
      <c r="D447" s="108"/>
      <c r="F447" s="66"/>
    </row>
    <row r="448">
      <c r="A448" s="84"/>
      <c r="B448" s="12"/>
      <c r="C448" s="12"/>
      <c r="D448" s="108"/>
      <c r="F448" s="66"/>
    </row>
    <row r="449">
      <c r="A449" s="84"/>
      <c r="B449" s="12"/>
      <c r="C449" s="12"/>
      <c r="D449" s="108"/>
      <c r="F449" s="66"/>
    </row>
    <row r="450">
      <c r="A450" s="84"/>
      <c r="B450" s="12"/>
      <c r="C450" s="12"/>
      <c r="D450" s="108"/>
      <c r="F450" s="66"/>
    </row>
    <row r="451">
      <c r="A451" s="84"/>
      <c r="B451" s="12"/>
      <c r="C451" s="12"/>
      <c r="D451" s="108"/>
      <c r="F451" s="66"/>
    </row>
    <row r="452">
      <c r="A452" s="84"/>
      <c r="B452" s="12"/>
      <c r="C452" s="12"/>
      <c r="D452" s="108"/>
      <c r="F452" s="66"/>
    </row>
    <row r="453">
      <c r="A453" s="84"/>
      <c r="B453" s="12"/>
      <c r="C453" s="12"/>
      <c r="D453" s="108"/>
      <c r="F453" s="66"/>
    </row>
    <row r="454">
      <c r="A454" s="84"/>
      <c r="B454" s="12"/>
      <c r="C454" s="12"/>
      <c r="D454" s="108"/>
      <c r="F454" s="66"/>
    </row>
    <row r="455">
      <c r="A455" s="84"/>
      <c r="B455" s="12"/>
      <c r="C455" s="12"/>
      <c r="D455" s="108"/>
      <c r="F455" s="66"/>
    </row>
    <row r="456">
      <c r="A456" s="84"/>
      <c r="B456" s="12"/>
      <c r="C456" s="12"/>
      <c r="D456" s="108"/>
      <c r="F456" s="66"/>
    </row>
    <row r="457">
      <c r="A457" s="84"/>
      <c r="B457" s="12"/>
      <c r="C457" s="12"/>
      <c r="D457" s="108"/>
      <c r="F457" s="66"/>
    </row>
    <row r="458">
      <c r="A458" s="84"/>
      <c r="B458" s="12"/>
      <c r="C458" s="12"/>
      <c r="D458" s="108"/>
      <c r="F458" s="66"/>
    </row>
    <row r="459">
      <c r="A459" s="84"/>
      <c r="B459" s="12"/>
      <c r="C459" s="12"/>
      <c r="D459" s="108"/>
      <c r="F459" s="66"/>
    </row>
    <row r="460">
      <c r="A460" s="84"/>
      <c r="B460" s="12"/>
      <c r="C460" s="12"/>
      <c r="D460" s="108"/>
      <c r="F460" s="66"/>
    </row>
    <row r="461">
      <c r="A461" s="84"/>
      <c r="B461" s="12"/>
      <c r="C461" s="12"/>
      <c r="D461" s="108"/>
      <c r="F461" s="66"/>
    </row>
    <row r="462">
      <c r="A462" s="84"/>
      <c r="B462" s="12"/>
      <c r="C462" s="12"/>
      <c r="D462" s="108"/>
      <c r="F462" s="66"/>
    </row>
    <row r="463">
      <c r="A463" s="84"/>
      <c r="B463" s="12"/>
      <c r="C463" s="12"/>
      <c r="D463" s="108"/>
      <c r="F463" s="66"/>
    </row>
    <row r="464">
      <c r="A464" s="84"/>
      <c r="B464" s="12"/>
      <c r="C464" s="12"/>
      <c r="D464" s="108"/>
      <c r="F464" s="66"/>
    </row>
    <row r="465">
      <c r="A465" s="84"/>
      <c r="B465" s="12"/>
      <c r="C465" s="12"/>
      <c r="D465" s="108"/>
      <c r="F465" s="66"/>
    </row>
    <row r="466">
      <c r="A466" s="84"/>
      <c r="B466" s="12"/>
      <c r="C466" s="12"/>
      <c r="D466" s="108"/>
      <c r="F466" s="66"/>
    </row>
    <row r="467">
      <c r="A467" s="84"/>
      <c r="B467" s="12"/>
      <c r="C467" s="12"/>
      <c r="D467" s="108"/>
      <c r="F467" s="66"/>
    </row>
    <row r="468">
      <c r="A468" s="84"/>
      <c r="B468" s="12"/>
      <c r="C468" s="12"/>
      <c r="D468" s="108"/>
      <c r="F468" s="66"/>
    </row>
    <row r="469">
      <c r="A469" s="84"/>
      <c r="B469" s="12"/>
      <c r="C469" s="12"/>
      <c r="D469" s="108"/>
      <c r="F469" s="66"/>
    </row>
    <row r="470">
      <c r="A470" s="84"/>
      <c r="B470" s="12"/>
      <c r="C470" s="12"/>
      <c r="D470" s="108"/>
      <c r="F470" s="66"/>
    </row>
    <row r="471">
      <c r="A471" s="84"/>
      <c r="B471" s="12"/>
      <c r="C471" s="12"/>
      <c r="D471" s="108"/>
      <c r="F471" s="66"/>
    </row>
    <row r="472">
      <c r="A472" s="84"/>
      <c r="B472" s="12"/>
      <c r="C472" s="12"/>
      <c r="D472" s="108"/>
      <c r="F472" s="66"/>
    </row>
    <row r="473">
      <c r="A473" s="84"/>
      <c r="B473" s="12"/>
      <c r="C473" s="12"/>
      <c r="D473" s="108"/>
      <c r="F473" s="66"/>
    </row>
    <row r="474">
      <c r="A474" s="84"/>
      <c r="B474" s="12"/>
      <c r="C474" s="12"/>
      <c r="D474" s="108"/>
      <c r="F474" s="66"/>
    </row>
    <row r="475">
      <c r="A475" s="84"/>
      <c r="B475" s="12"/>
      <c r="C475" s="12"/>
      <c r="D475" s="108"/>
      <c r="F475" s="66"/>
    </row>
    <row r="476">
      <c r="A476" s="84"/>
      <c r="B476" s="12"/>
      <c r="C476" s="12"/>
      <c r="D476" s="108"/>
      <c r="F476" s="66"/>
    </row>
    <row r="477">
      <c r="A477" s="84"/>
      <c r="B477" s="12"/>
      <c r="C477" s="12"/>
      <c r="D477" s="108"/>
      <c r="F477" s="66"/>
    </row>
    <row r="478">
      <c r="A478" s="84"/>
      <c r="B478" s="12"/>
      <c r="C478" s="12"/>
      <c r="D478" s="108"/>
      <c r="F478" s="66"/>
    </row>
    <row r="479">
      <c r="A479" s="84"/>
      <c r="B479" s="12"/>
      <c r="C479" s="12"/>
      <c r="D479" s="108"/>
      <c r="F479" s="66"/>
    </row>
    <row r="480">
      <c r="A480" s="84"/>
      <c r="B480" s="12"/>
      <c r="C480" s="12"/>
      <c r="D480" s="108"/>
      <c r="F480" s="66"/>
    </row>
    <row r="481">
      <c r="A481" s="84"/>
      <c r="B481" s="12"/>
      <c r="C481" s="12"/>
      <c r="D481" s="108"/>
      <c r="F481" s="66"/>
    </row>
    <row r="482">
      <c r="A482" s="84"/>
      <c r="B482" s="12"/>
      <c r="C482" s="12"/>
      <c r="D482" s="108"/>
      <c r="F482" s="66"/>
    </row>
    <row r="483">
      <c r="A483" s="84"/>
      <c r="B483" s="12"/>
      <c r="C483" s="12"/>
      <c r="D483" s="108"/>
      <c r="F483" s="66"/>
    </row>
    <row r="484">
      <c r="A484" s="84"/>
      <c r="B484" s="12"/>
      <c r="C484" s="12"/>
      <c r="D484" s="108"/>
      <c r="F484" s="66"/>
    </row>
    <row r="485">
      <c r="A485" s="84"/>
      <c r="B485" s="12"/>
      <c r="C485" s="12"/>
      <c r="D485" s="108"/>
      <c r="F485" s="66"/>
    </row>
    <row r="486">
      <c r="A486" s="84"/>
      <c r="B486" s="12"/>
      <c r="C486" s="12"/>
      <c r="D486" s="108"/>
      <c r="F486" s="66"/>
    </row>
    <row r="487">
      <c r="A487" s="84"/>
      <c r="B487" s="12"/>
      <c r="C487" s="12"/>
      <c r="D487" s="108"/>
      <c r="F487" s="66"/>
    </row>
    <row r="488">
      <c r="A488" s="84"/>
      <c r="B488" s="12"/>
      <c r="C488" s="12"/>
      <c r="D488" s="108"/>
      <c r="F488" s="66"/>
    </row>
    <row r="489">
      <c r="A489" s="84"/>
      <c r="B489" s="12"/>
      <c r="C489" s="12"/>
      <c r="D489" s="108"/>
      <c r="F489" s="66"/>
    </row>
    <row r="490">
      <c r="A490" s="84"/>
      <c r="B490" s="12"/>
      <c r="C490" s="12"/>
      <c r="D490" s="108"/>
      <c r="F490" s="66"/>
    </row>
    <row r="491">
      <c r="A491" s="84"/>
      <c r="B491" s="12"/>
      <c r="C491" s="12"/>
      <c r="D491" s="108"/>
      <c r="F491" s="66"/>
    </row>
    <row r="492">
      <c r="A492" s="84"/>
      <c r="B492" s="12"/>
      <c r="C492" s="12"/>
      <c r="D492" s="108"/>
      <c r="F492" s="66"/>
    </row>
    <row r="493">
      <c r="A493" s="84"/>
      <c r="B493" s="12"/>
      <c r="C493" s="12"/>
      <c r="D493" s="108"/>
      <c r="F493" s="66"/>
    </row>
    <row r="494">
      <c r="A494" s="84"/>
      <c r="B494" s="12"/>
      <c r="C494" s="12"/>
      <c r="D494" s="108"/>
      <c r="F494" s="66"/>
    </row>
    <row r="495">
      <c r="A495" s="84"/>
      <c r="B495" s="12"/>
      <c r="C495" s="12"/>
      <c r="D495" s="108"/>
      <c r="F495" s="66"/>
    </row>
    <row r="496">
      <c r="A496" s="84"/>
      <c r="B496" s="12"/>
      <c r="C496" s="12"/>
      <c r="D496" s="108"/>
      <c r="F496" s="66"/>
    </row>
    <row r="497">
      <c r="A497" s="84"/>
      <c r="B497" s="12"/>
      <c r="C497" s="12"/>
      <c r="D497" s="108"/>
      <c r="F497" s="66"/>
    </row>
    <row r="498">
      <c r="A498" s="84"/>
      <c r="B498" s="12"/>
      <c r="C498" s="12"/>
      <c r="D498" s="108"/>
      <c r="F498" s="66"/>
    </row>
    <row r="499">
      <c r="A499" s="84"/>
      <c r="B499" s="12"/>
      <c r="C499" s="12"/>
      <c r="D499" s="108"/>
      <c r="F499" s="66"/>
    </row>
    <row r="500">
      <c r="A500" s="84"/>
      <c r="B500" s="12"/>
      <c r="C500" s="12"/>
      <c r="D500" s="108"/>
      <c r="F500" s="66"/>
    </row>
    <row r="501">
      <c r="A501" s="84"/>
      <c r="B501" s="12"/>
      <c r="C501" s="12"/>
      <c r="D501" s="108"/>
      <c r="F501" s="66"/>
    </row>
    <row r="502">
      <c r="A502" s="84"/>
      <c r="B502" s="12"/>
      <c r="C502" s="12"/>
      <c r="D502" s="108"/>
      <c r="F502" s="66"/>
    </row>
    <row r="503">
      <c r="A503" s="84"/>
      <c r="B503" s="12"/>
      <c r="C503" s="12"/>
      <c r="D503" s="108"/>
      <c r="F503" s="66"/>
    </row>
    <row r="504">
      <c r="A504" s="84"/>
      <c r="B504" s="12"/>
      <c r="C504" s="12"/>
      <c r="D504" s="108"/>
      <c r="F504" s="66"/>
    </row>
    <row r="505">
      <c r="A505" s="84"/>
      <c r="B505" s="12"/>
      <c r="C505" s="12"/>
      <c r="D505" s="108"/>
      <c r="F505" s="66"/>
    </row>
    <row r="506">
      <c r="A506" s="84"/>
      <c r="B506" s="12"/>
      <c r="C506" s="12"/>
      <c r="D506" s="108"/>
      <c r="F506" s="66"/>
    </row>
    <row r="507">
      <c r="A507" s="84"/>
      <c r="B507" s="12"/>
      <c r="C507" s="12"/>
      <c r="D507" s="108"/>
      <c r="F507" s="66"/>
    </row>
    <row r="508">
      <c r="A508" s="84"/>
      <c r="B508" s="12"/>
      <c r="C508" s="12"/>
      <c r="D508" s="108"/>
      <c r="F508" s="66"/>
    </row>
    <row r="509">
      <c r="A509" s="84"/>
      <c r="B509" s="12"/>
      <c r="C509" s="12"/>
      <c r="D509" s="108"/>
      <c r="F509" s="66"/>
    </row>
    <row r="510">
      <c r="A510" s="84"/>
      <c r="B510" s="12"/>
      <c r="C510" s="12"/>
      <c r="D510" s="108"/>
      <c r="F510" s="66"/>
    </row>
    <row r="511">
      <c r="A511" s="84"/>
      <c r="B511" s="12"/>
      <c r="C511" s="12"/>
      <c r="D511" s="108"/>
      <c r="F511" s="66"/>
    </row>
    <row r="512">
      <c r="A512" s="84"/>
      <c r="B512" s="12"/>
      <c r="C512" s="12"/>
      <c r="D512" s="108"/>
      <c r="F512" s="66"/>
    </row>
    <row r="513">
      <c r="A513" s="84"/>
      <c r="B513" s="12"/>
      <c r="C513" s="12"/>
      <c r="D513" s="108"/>
      <c r="F513" s="66"/>
    </row>
    <row r="514">
      <c r="A514" s="84"/>
      <c r="B514" s="12"/>
      <c r="C514" s="12"/>
      <c r="D514" s="108"/>
      <c r="F514" s="66"/>
    </row>
    <row r="515">
      <c r="A515" s="84"/>
      <c r="B515" s="12"/>
      <c r="C515" s="12"/>
      <c r="D515" s="108"/>
      <c r="F515" s="66"/>
    </row>
    <row r="516">
      <c r="A516" s="84"/>
      <c r="B516" s="12"/>
      <c r="C516" s="12"/>
      <c r="D516" s="108"/>
      <c r="F516" s="66"/>
    </row>
    <row r="517">
      <c r="A517" s="84"/>
      <c r="B517" s="12"/>
      <c r="C517" s="12"/>
      <c r="D517" s="108"/>
      <c r="F517" s="66"/>
    </row>
    <row r="518">
      <c r="A518" s="84"/>
      <c r="B518" s="12"/>
      <c r="C518" s="12"/>
      <c r="D518" s="108"/>
      <c r="F518" s="66"/>
    </row>
    <row r="519">
      <c r="A519" s="84"/>
      <c r="B519" s="12"/>
      <c r="C519" s="12"/>
      <c r="D519" s="108"/>
      <c r="F519" s="66"/>
    </row>
    <row r="520">
      <c r="A520" s="84"/>
      <c r="B520" s="12"/>
      <c r="C520" s="12"/>
      <c r="D520" s="108"/>
      <c r="F520" s="66"/>
    </row>
    <row r="521">
      <c r="A521" s="84"/>
      <c r="B521" s="12"/>
      <c r="C521" s="12"/>
      <c r="D521" s="108"/>
      <c r="F521" s="66"/>
    </row>
    <row r="522">
      <c r="A522" s="84"/>
      <c r="B522" s="12"/>
      <c r="C522" s="12"/>
      <c r="D522" s="108"/>
      <c r="F522" s="66"/>
    </row>
    <row r="523">
      <c r="A523" s="84"/>
      <c r="B523" s="12"/>
      <c r="C523" s="12"/>
      <c r="D523" s="108"/>
      <c r="F523" s="66"/>
    </row>
    <row r="524">
      <c r="A524" s="84"/>
      <c r="B524" s="12"/>
      <c r="C524" s="12"/>
      <c r="D524" s="108"/>
      <c r="F524" s="66"/>
    </row>
    <row r="525">
      <c r="A525" s="84"/>
      <c r="B525" s="12"/>
      <c r="C525" s="12"/>
      <c r="D525" s="108"/>
      <c r="F525" s="66"/>
    </row>
    <row r="526">
      <c r="A526" s="84"/>
      <c r="B526" s="12"/>
      <c r="C526" s="12"/>
      <c r="D526" s="108"/>
      <c r="F526" s="66"/>
    </row>
    <row r="527">
      <c r="A527" s="84"/>
      <c r="B527" s="12"/>
      <c r="C527" s="12"/>
      <c r="D527" s="108"/>
      <c r="F527" s="66"/>
    </row>
    <row r="528">
      <c r="A528" s="84"/>
      <c r="B528" s="12"/>
      <c r="C528" s="12"/>
      <c r="D528" s="108"/>
      <c r="F528" s="66"/>
    </row>
    <row r="529">
      <c r="A529" s="84"/>
      <c r="B529" s="12"/>
      <c r="C529" s="12"/>
      <c r="D529" s="108"/>
      <c r="F529" s="66"/>
    </row>
    <row r="530">
      <c r="A530" s="84"/>
      <c r="B530" s="12"/>
      <c r="C530" s="12"/>
      <c r="D530" s="108"/>
      <c r="F530" s="66"/>
    </row>
    <row r="531">
      <c r="A531" s="84"/>
      <c r="B531" s="12"/>
      <c r="C531" s="12"/>
      <c r="D531" s="108"/>
      <c r="F531" s="66"/>
    </row>
    <row r="532">
      <c r="A532" s="84"/>
      <c r="B532" s="12"/>
      <c r="C532" s="12"/>
      <c r="D532" s="108"/>
      <c r="F532" s="66"/>
    </row>
    <row r="533">
      <c r="A533" s="84"/>
      <c r="B533" s="12"/>
      <c r="C533" s="12"/>
      <c r="D533" s="108"/>
      <c r="F533" s="66"/>
    </row>
    <row r="534">
      <c r="A534" s="84"/>
      <c r="B534" s="12"/>
      <c r="C534" s="12"/>
      <c r="D534" s="108"/>
      <c r="F534" s="66"/>
    </row>
    <row r="535">
      <c r="A535" s="84"/>
      <c r="B535" s="12"/>
      <c r="C535" s="12"/>
      <c r="D535" s="108"/>
      <c r="F535" s="66"/>
    </row>
    <row r="536">
      <c r="A536" s="84"/>
      <c r="B536" s="12"/>
      <c r="C536" s="12"/>
      <c r="D536" s="108"/>
      <c r="F536" s="66"/>
    </row>
    <row r="537">
      <c r="A537" s="84"/>
      <c r="B537" s="12"/>
      <c r="C537" s="12"/>
      <c r="D537" s="108"/>
      <c r="F537" s="66"/>
    </row>
    <row r="538">
      <c r="A538" s="84"/>
      <c r="B538" s="12"/>
      <c r="C538" s="12"/>
      <c r="D538" s="108"/>
      <c r="F538" s="66"/>
    </row>
    <row r="539">
      <c r="A539" s="84"/>
      <c r="B539" s="12"/>
      <c r="C539" s="12"/>
      <c r="D539" s="108"/>
      <c r="F539" s="66"/>
    </row>
    <row r="540">
      <c r="A540" s="84"/>
      <c r="B540" s="12"/>
      <c r="C540" s="12"/>
      <c r="D540" s="108"/>
      <c r="F540" s="66"/>
    </row>
    <row r="541">
      <c r="A541" s="84"/>
      <c r="B541" s="12"/>
      <c r="C541" s="12"/>
      <c r="D541" s="108"/>
      <c r="F541" s="66"/>
    </row>
    <row r="542">
      <c r="A542" s="84"/>
      <c r="B542" s="12"/>
      <c r="C542" s="12"/>
      <c r="D542" s="108"/>
      <c r="F542" s="66"/>
    </row>
    <row r="543">
      <c r="A543" s="84"/>
      <c r="B543" s="12"/>
      <c r="C543" s="12"/>
      <c r="D543" s="108"/>
      <c r="F543" s="66"/>
    </row>
    <row r="544">
      <c r="A544" s="84"/>
      <c r="B544" s="12"/>
      <c r="C544" s="12"/>
      <c r="D544" s="108"/>
      <c r="F544" s="66"/>
    </row>
    <row r="545">
      <c r="A545" s="84"/>
      <c r="B545" s="12"/>
      <c r="C545" s="12"/>
      <c r="D545" s="108"/>
      <c r="F545" s="66"/>
    </row>
    <row r="546">
      <c r="A546" s="84"/>
      <c r="B546" s="12"/>
      <c r="C546" s="12"/>
      <c r="D546" s="108"/>
      <c r="F546" s="66"/>
    </row>
    <row r="547">
      <c r="A547" s="84"/>
      <c r="B547" s="12"/>
      <c r="C547" s="12"/>
      <c r="D547" s="108"/>
      <c r="F547" s="66"/>
    </row>
    <row r="548">
      <c r="A548" s="84"/>
      <c r="B548" s="12"/>
      <c r="C548" s="12"/>
      <c r="D548" s="108"/>
      <c r="F548" s="66"/>
    </row>
    <row r="549">
      <c r="A549" s="84"/>
      <c r="B549" s="12"/>
      <c r="C549" s="12"/>
      <c r="D549" s="108"/>
      <c r="F549" s="66"/>
    </row>
    <row r="550">
      <c r="A550" s="84"/>
      <c r="B550" s="12"/>
      <c r="C550" s="12"/>
      <c r="D550" s="108"/>
      <c r="F550" s="66"/>
    </row>
    <row r="551">
      <c r="A551" s="84"/>
      <c r="B551" s="12"/>
      <c r="C551" s="12"/>
      <c r="D551" s="108"/>
      <c r="F551" s="66"/>
    </row>
    <row r="552">
      <c r="A552" s="84"/>
      <c r="B552" s="12"/>
      <c r="C552" s="12"/>
      <c r="D552" s="108"/>
      <c r="F552" s="66"/>
    </row>
    <row r="553">
      <c r="A553" s="84"/>
      <c r="B553" s="12"/>
      <c r="C553" s="12"/>
      <c r="D553" s="108"/>
      <c r="F553" s="66"/>
    </row>
    <row r="554">
      <c r="A554" s="84"/>
      <c r="B554" s="12"/>
      <c r="C554" s="12"/>
      <c r="D554" s="108"/>
      <c r="F554" s="66"/>
    </row>
    <row r="555">
      <c r="A555" s="84"/>
      <c r="B555" s="12"/>
      <c r="C555" s="12"/>
      <c r="D555" s="108"/>
      <c r="F555" s="66"/>
    </row>
    <row r="556">
      <c r="A556" s="84"/>
      <c r="B556" s="12"/>
      <c r="C556" s="12"/>
      <c r="D556" s="108"/>
      <c r="F556" s="66"/>
    </row>
    <row r="557">
      <c r="A557" s="84"/>
      <c r="B557" s="12"/>
      <c r="C557" s="12"/>
      <c r="D557" s="108"/>
      <c r="F557" s="66"/>
    </row>
    <row r="558">
      <c r="A558" s="84"/>
      <c r="B558" s="12"/>
      <c r="C558" s="12"/>
      <c r="D558" s="108"/>
      <c r="F558" s="66"/>
    </row>
    <row r="559">
      <c r="A559" s="84"/>
      <c r="B559" s="12"/>
      <c r="C559" s="12"/>
      <c r="D559" s="108"/>
      <c r="F559" s="66"/>
    </row>
    <row r="560">
      <c r="A560" s="84"/>
      <c r="B560" s="12"/>
      <c r="C560" s="12"/>
      <c r="D560" s="108"/>
      <c r="F560" s="66"/>
    </row>
    <row r="561">
      <c r="A561" s="84"/>
      <c r="B561" s="12"/>
      <c r="C561" s="12"/>
      <c r="D561" s="108"/>
      <c r="F561" s="66"/>
    </row>
    <row r="562">
      <c r="A562" s="84"/>
      <c r="B562" s="12"/>
      <c r="C562" s="12"/>
      <c r="D562" s="108"/>
      <c r="F562" s="66"/>
    </row>
    <row r="563">
      <c r="A563" s="84"/>
      <c r="B563" s="12"/>
      <c r="C563" s="12"/>
      <c r="D563" s="108"/>
      <c r="F563" s="66"/>
    </row>
    <row r="564">
      <c r="A564" s="84"/>
      <c r="B564" s="12"/>
      <c r="C564" s="12"/>
      <c r="D564" s="108"/>
      <c r="F564" s="66"/>
    </row>
    <row r="565">
      <c r="A565" s="84"/>
      <c r="B565" s="12"/>
      <c r="C565" s="12"/>
      <c r="D565" s="108"/>
      <c r="F565" s="66"/>
    </row>
    <row r="566">
      <c r="A566" s="84"/>
      <c r="B566" s="12"/>
      <c r="C566" s="12"/>
      <c r="D566" s="108"/>
      <c r="F566" s="66"/>
    </row>
    <row r="567">
      <c r="A567" s="84"/>
      <c r="B567" s="12"/>
      <c r="C567" s="12"/>
      <c r="D567" s="108"/>
      <c r="F567" s="66"/>
    </row>
    <row r="568">
      <c r="A568" s="84"/>
      <c r="B568" s="12"/>
      <c r="C568" s="12"/>
      <c r="D568" s="108"/>
      <c r="F568" s="66"/>
    </row>
    <row r="569">
      <c r="A569" s="84"/>
      <c r="B569" s="12"/>
      <c r="C569" s="12"/>
      <c r="D569" s="108"/>
      <c r="F569" s="66"/>
    </row>
    <row r="570">
      <c r="A570" s="84"/>
      <c r="B570" s="12"/>
      <c r="C570" s="12"/>
      <c r="D570" s="108"/>
      <c r="F570" s="66"/>
    </row>
    <row r="571">
      <c r="A571" s="84"/>
      <c r="B571" s="12"/>
      <c r="C571" s="12"/>
      <c r="D571" s="108"/>
      <c r="F571" s="66"/>
    </row>
    <row r="572">
      <c r="A572" s="84"/>
      <c r="B572" s="12"/>
      <c r="C572" s="12"/>
      <c r="D572" s="108"/>
      <c r="F572" s="66"/>
    </row>
    <row r="573">
      <c r="A573" s="84"/>
      <c r="B573" s="12"/>
      <c r="C573" s="12"/>
      <c r="D573" s="108"/>
      <c r="F573" s="66"/>
    </row>
    <row r="574">
      <c r="A574" s="84"/>
      <c r="B574" s="12"/>
      <c r="C574" s="12"/>
      <c r="D574" s="108"/>
      <c r="F574" s="66"/>
    </row>
    <row r="575">
      <c r="A575" s="84"/>
      <c r="B575" s="12"/>
      <c r="C575" s="12"/>
      <c r="D575" s="108"/>
      <c r="F575" s="66"/>
    </row>
    <row r="576">
      <c r="A576" s="84"/>
      <c r="B576" s="12"/>
      <c r="C576" s="12"/>
      <c r="D576" s="108"/>
      <c r="F576" s="66"/>
    </row>
    <row r="577">
      <c r="A577" s="84"/>
      <c r="B577" s="12"/>
      <c r="C577" s="12"/>
      <c r="D577" s="108"/>
      <c r="F577" s="66"/>
    </row>
    <row r="578">
      <c r="A578" s="84"/>
      <c r="B578" s="12"/>
      <c r="C578" s="12"/>
      <c r="D578" s="108"/>
      <c r="F578" s="66"/>
    </row>
    <row r="579">
      <c r="A579" s="84"/>
      <c r="B579" s="12"/>
      <c r="C579" s="12"/>
      <c r="D579" s="108"/>
      <c r="F579" s="66"/>
    </row>
    <row r="580">
      <c r="A580" s="84"/>
      <c r="B580" s="12"/>
      <c r="C580" s="12"/>
      <c r="D580" s="108"/>
      <c r="F580" s="66"/>
    </row>
    <row r="581">
      <c r="A581" s="84"/>
      <c r="B581" s="12"/>
      <c r="C581" s="12"/>
      <c r="D581" s="108"/>
      <c r="F581" s="66"/>
    </row>
    <row r="582">
      <c r="A582" s="84"/>
      <c r="B582" s="12"/>
      <c r="C582" s="12"/>
      <c r="D582" s="108"/>
      <c r="F582" s="66"/>
    </row>
    <row r="583">
      <c r="A583" s="84"/>
      <c r="B583" s="12"/>
      <c r="C583" s="12"/>
      <c r="D583" s="108"/>
      <c r="F583" s="66"/>
    </row>
    <row r="584">
      <c r="A584" s="84"/>
      <c r="B584" s="12"/>
      <c r="C584" s="12"/>
      <c r="D584" s="108"/>
      <c r="F584" s="66"/>
    </row>
    <row r="585">
      <c r="A585" s="84"/>
      <c r="B585" s="12"/>
      <c r="C585" s="12"/>
      <c r="D585" s="108"/>
      <c r="F585" s="66"/>
    </row>
    <row r="586">
      <c r="A586" s="84"/>
      <c r="B586" s="12"/>
      <c r="C586" s="12"/>
      <c r="D586" s="108"/>
      <c r="F586" s="66"/>
    </row>
    <row r="587">
      <c r="A587" s="84"/>
      <c r="B587" s="12"/>
      <c r="C587" s="12"/>
      <c r="D587" s="108"/>
      <c r="F587" s="66"/>
    </row>
    <row r="588">
      <c r="A588" s="84"/>
      <c r="B588" s="12"/>
      <c r="C588" s="12"/>
      <c r="D588" s="108"/>
      <c r="F588" s="66"/>
    </row>
    <row r="589">
      <c r="A589" s="84"/>
      <c r="B589" s="12"/>
      <c r="C589" s="12"/>
      <c r="D589" s="108"/>
      <c r="F589" s="66"/>
    </row>
    <row r="590">
      <c r="A590" s="84"/>
      <c r="B590" s="12"/>
      <c r="C590" s="12"/>
      <c r="D590" s="108"/>
      <c r="F590" s="66"/>
    </row>
    <row r="591">
      <c r="A591" s="84"/>
      <c r="B591" s="12"/>
      <c r="C591" s="12"/>
      <c r="D591" s="108"/>
      <c r="F591" s="66"/>
    </row>
    <row r="592">
      <c r="A592" s="84"/>
      <c r="B592" s="12"/>
      <c r="C592" s="12"/>
      <c r="D592" s="108"/>
      <c r="F592" s="66"/>
    </row>
    <row r="593">
      <c r="A593" s="84"/>
      <c r="B593" s="12"/>
      <c r="C593" s="12"/>
      <c r="D593" s="108"/>
      <c r="F593" s="66"/>
    </row>
    <row r="594">
      <c r="A594" s="84"/>
      <c r="B594" s="12"/>
      <c r="C594" s="12"/>
      <c r="D594" s="108"/>
      <c r="F594" s="66"/>
    </row>
    <row r="595">
      <c r="A595" s="84"/>
      <c r="B595" s="12"/>
      <c r="C595" s="12"/>
      <c r="D595" s="108"/>
      <c r="F595" s="66"/>
    </row>
    <row r="596">
      <c r="A596" s="84"/>
      <c r="B596" s="12"/>
      <c r="C596" s="12"/>
      <c r="D596" s="108"/>
      <c r="F596" s="66"/>
    </row>
    <row r="597">
      <c r="A597" s="84"/>
      <c r="B597" s="12"/>
      <c r="C597" s="12"/>
      <c r="D597" s="108"/>
      <c r="F597" s="66"/>
    </row>
    <row r="598">
      <c r="A598" s="84"/>
      <c r="B598" s="12"/>
      <c r="C598" s="12"/>
      <c r="D598" s="108"/>
      <c r="F598" s="66"/>
    </row>
    <row r="599">
      <c r="A599" s="84"/>
      <c r="B599" s="12"/>
      <c r="C599" s="12"/>
      <c r="D599" s="108"/>
      <c r="F599" s="66"/>
    </row>
    <row r="600">
      <c r="A600" s="84"/>
      <c r="B600" s="12"/>
      <c r="C600" s="12"/>
      <c r="D600" s="108"/>
      <c r="F600" s="66"/>
    </row>
    <row r="601">
      <c r="A601" s="84"/>
      <c r="B601" s="12"/>
      <c r="C601" s="12"/>
      <c r="D601" s="108"/>
      <c r="F601" s="66"/>
    </row>
    <row r="602">
      <c r="A602" s="84"/>
      <c r="B602" s="12"/>
      <c r="C602" s="12"/>
      <c r="D602" s="108"/>
      <c r="F602" s="66"/>
    </row>
    <row r="603">
      <c r="A603" s="84"/>
      <c r="B603" s="12"/>
      <c r="C603" s="12"/>
      <c r="D603" s="108"/>
      <c r="F603" s="66"/>
    </row>
    <row r="604">
      <c r="A604" s="84"/>
      <c r="B604" s="12"/>
      <c r="C604" s="12"/>
      <c r="D604" s="108"/>
      <c r="F604" s="66"/>
    </row>
    <row r="605">
      <c r="A605" s="84"/>
      <c r="B605" s="12"/>
      <c r="C605" s="12"/>
      <c r="D605" s="108"/>
      <c r="F605" s="66"/>
    </row>
    <row r="606">
      <c r="A606" s="84"/>
      <c r="B606" s="12"/>
      <c r="C606" s="12"/>
      <c r="D606" s="108"/>
      <c r="F606" s="66"/>
    </row>
    <row r="607">
      <c r="A607" s="84"/>
      <c r="B607" s="12"/>
      <c r="C607" s="12"/>
      <c r="D607" s="108"/>
      <c r="F607" s="66"/>
    </row>
    <row r="608">
      <c r="A608" s="84"/>
      <c r="B608" s="12"/>
      <c r="C608" s="12"/>
      <c r="D608" s="108"/>
      <c r="F608" s="66"/>
    </row>
    <row r="609">
      <c r="A609" s="84"/>
      <c r="B609" s="12"/>
      <c r="C609" s="12"/>
      <c r="D609" s="108"/>
      <c r="F609" s="66"/>
    </row>
    <row r="610">
      <c r="A610" s="84"/>
      <c r="B610" s="12"/>
      <c r="C610" s="12"/>
      <c r="D610" s="108"/>
      <c r="F610" s="66"/>
    </row>
    <row r="611">
      <c r="A611" s="84"/>
      <c r="B611" s="12"/>
      <c r="C611" s="12"/>
      <c r="D611" s="108"/>
      <c r="F611" s="66"/>
    </row>
    <row r="612">
      <c r="A612" s="84"/>
      <c r="B612" s="12"/>
      <c r="C612" s="12"/>
      <c r="D612" s="108"/>
      <c r="F612" s="66"/>
    </row>
    <row r="613">
      <c r="A613" s="84"/>
      <c r="B613" s="12"/>
      <c r="C613" s="12"/>
      <c r="D613" s="108"/>
      <c r="F613" s="66"/>
    </row>
    <row r="614">
      <c r="A614" s="84"/>
      <c r="B614" s="12"/>
      <c r="C614" s="12"/>
      <c r="D614" s="108"/>
      <c r="F614" s="66"/>
    </row>
    <row r="615">
      <c r="A615" s="84"/>
      <c r="B615" s="12"/>
      <c r="C615" s="12"/>
      <c r="D615" s="108"/>
      <c r="F615" s="66"/>
    </row>
    <row r="616">
      <c r="A616" s="84"/>
      <c r="B616" s="12"/>
      <c r="C616" s="12"/>
      <c r="D616" s="108"/>
      <c r="F616" s="66"/>
    </row>
    <row r="617">
      <c r="A617" s="84"/>
      <c r="B617" s="12"/>
      <c r="C617" s="12"/>
      <c r="D617" s="108"/>
      <c r="F617" s="66"/>
    </row>
    <row r="618">
      <c r="A618" s="84"/>
      <c r="B618" s="12"/>
      <c r="C618" s="12"/>
      <c r="D618" s="108"/>
      <c r="F618" s="66"/>
    </row>
    <row r="619">
      <c r="A619" s="84"/>
      <c r="B619" s="12"/>
      <c r="C619" s="12"/>
      <c r="D619" s="108"/>
      <c r="F619" s="66"/>
    </row>
    <row r="620">
      <c r="A620" s="84"/>
      <c r="B620" s="12"/>
      <c r="C620" s="12"/>
      <c r="D620" s="108"/>
      <c r="F620" s="66"/>
    </row>
    <row r="621">
      <c r="A621" s="84"/>
      <c r="B621" s="12"/>
      <c r="C621" s="12"/>
      <c r="D621" s="108"/>
      <c r="F621" s="66"/>
    </row>
    <row r="622">
      <c r="A622" s="84"/>
      <c r="B622" s="12"/>
      <c r="C622" s="12"/>
      <c r="D622" s="108"/>
      <c r="F622" s="66"/>
    </row>
    <row r="623">
      <c r="A623" s="84"/>
      <c r="B623" s="12"/>
      <c r="C623" s="12"/>
      <c r="D623" s="108"/>
      <c r="F623" s="66"/>
    </row>
    <row r="624">
      <c r="A624" s="84"/>
      <c r="B624" s="12"/>
      <c r="C624" s="12"/>
      <c r="D624" s="108"/>
      <c r="F624" s="66"/>
    </row>
    <row r="625">
      <c r="A625" s="84"/>
      <c r="B625" s="12"/>
      <c r="C625" s="12"/>
      <c r="D625" s="108"/>
      <c r="F625" s="66"/>
    </row>
    <row r="626">
      <c r="A626" s="84"/>
      <c r="B626" s="12"/>
      <c r="C626" s="12"/>
      <c r="D626" s="108"/>
      <c r="F626" s="66"/>
    </row>
    <row r="627">
      <c r="A627" s="84"/>
      <c r="B627" s="12"/>
      <c r="C627" s="12"/>
      <c r="D627" s="108"/>
      <c r="F627" s="66"/>
    </row>
    <row r="628">
      <c r="A628" s="84"/>
      <c r="B628" s="12"/>
      <c r="C628" s="12"/>
      <c r="D628" s="108"/>
      <c r="F628" s="66"/>
    </row>
    <row r="629">
      <c r="A629" s="84"/>
      <c r="B629" s="12"/>
      <c r="C629" s="12"/>
      <c r="D629" s="108"/>
      <c r="F629" s="66"/>
    </row>
    <row r="630">
      <c r="A630" s="84"/>
      <c r="B630" s="12"/>
      <c r="C630" s="12"/>
      <c r="D630" s="108"/>
      <c r="F630" s="66"/>
    </row>
    <row r="631">
      <c r="A631" s="84"/>
      <c r="B631" s="12"/>
      <c r="C631" s="12"/>
      <c r="D631" s="108"/>
      <c r="F631" s="66"/>
    </row>
    <row r="632">
      <c r="A632" s="84"/>
      <c r="B632" s="12"/>
      <c r="C632" s="12"/>
      <c r="D632" s="108"/>
      <c r="F632" s="66"/>
    </row>
    <row r="633">
      <c r="A633" s="84"/>
      <c r="B633" s="12"/>
      <c r="C633" s="12"/>
      <c r="D633" s="108"/>
      <c r="F633" s="66"/>
    </row>
    <row r="634">
      <c r="A634" s="84"/>
      <c r="B634" s="12"/>
      <c r="C634" s="12"/>
      <c r="D634" s="108"/>
      <c r="F634" s="66"/>
    </row>
    <row r="635">
      <c r="A635" s="84"/>
      <c r="B635" s="12"/>
      <c r="C635" s="12"/>
      <c r="D635" s="108"/>
      <c r="F635" s="66"/>
    </row>
    <row r="636">
      <c r="A636" s="84"/>
      <c r="B636" s="12"/>
      <c r="C636" s="12"/>
      <c r="D636" s="108"/>
      <c r="F636" s="66"/>
    </row>
    <row r="637">
      <c r="A637" s="84"/>
      <c r="B637" s="12"/>
      <c r="C637" s="12"/>
      <c r="D637" s="108"/>
      <c r="F637" s="66"/>
    </row>
    <row r="638">
      <c r="A638" s="84"/>
      <c r="B638" s="12"/>
      <c r="C638" s="12"/>
      <c r="D638" s="108"/>
      <c r="F638" s="66"/>
    </row>
    <row r="639">
      <c r="A639" s="84"/>
      <c r="B639" s="12"/>
      <c r="C639" s="12"/>
      <c r="D639" s="108"/>
      <c r="F639" s="66"/>
    </row>
    <row r="640">
      <c r="A640" s="84"/>
      <c r="B640" s="12"/>
      <c r="C640" s="12"/>
      <c r="D640" s="108"/>
      <c r="F640" s="66"/>
    </row>
    <row r="641">
      <c r="A641" s="84"/>
      <c r="B641" s="12"/>
      <c r="C641" s="12"/>
      <c r="D641" s="108"/>
      <c r="F641" s="66"/>
    </row>
    <row r="642">
      <c r="A642" s="84"/>
      <c r="B642" s="12"/>
      <c r="C642" s="12"/>
      <c r="D642" s="108"/>
      <c r="F642" s="66"/>
    </row>
    <row r="643">
      <c r="A643" s="84"/>
      <c r="B643" s="12"/>
      <c r="C643" s="12"/>
      <c r="D643" s="108"/>
      <c r="F643" s="66"/>
    </row>
    <row r="644">
      <c r="A644" s="84"/>
      <c r="B644" s="12"/>
      <c r="C644" s="12"/>
      <c r="D644" s="108"/>
      <c r="F644" s="66"/>
    </row>
    <row r="645">
      <c r="A645" s="84"/>
      <c r="B645" s="12"/>
      <c r="C645" s="12"/>
      <c r="D645" s="108"/>
      <c r="F645" s="66"/>
    </row>
    <row r="646">
      <c r="A646" s="84"/>
      <c r="B646" s="12"/>
      <c r="C646" s="12"/>
      <c r="D646" s="108"/>
      <c r="F646" s="66"/>
    </row>
    <row r="647">
      <c r="A647" s="84"/>
      <c r="B647" s="12"/>
      <c r="C647" s="12"/>
      <c r="D647" s="108"/>
      <c r="F647" s="66"/>
    </row>
    <row r="648">
      <c r="A648" s="84"/>
      <c r="B648" s="12"/>
      <c r="C648" s="12"/>
      <c r="D648" s="108"/>
      <c r="F648" s="66"/>
    </row>
    <row r="649">
      <c r="A649" s="84"/>
      <c r="B649" s="12"/>
      <c r="C649" s="12"/>
      <c r="D649" s="108"/>
      <c r="F649" s="66"/>
    </row>
    <row r="650">
      <c r="A650" s="84"/>
      <c r="B650" s="12"/>
      <c r="C650" s="12"/>
      <c r="D650" s="108"/>
      <c r="F650" s="66"/>
    </row>
    <row r="651">
      <c r="A651" s="84"/>
      <c r="B651" s="12"/>
      <c r="C651" s="12"/>
      <c r="D651" s="108"/>
      <c r="F651" s="66"/>
    </row>
    <row r="652">
      <c r="A652" s="84"/>
      <c r="B652" s="12"/>
      <c r="C652" s="12"/>
      <c r="D652" s="108"/>
      <c r="F652" s="66"/>
    </row>
    <row r="653">
      <c r="A653" s="84"/>
      <c r="B653" s="12"/>
      <c r="C653" s="12"/>
      <c r="D653" s="108"/>
      <c r="F653" s="66"/>
    </row>
    <row r="654">
      <c r="A654" s="84"/>
      <c r="B654" s="12"/>
      <c r="C654" s="12"/>
      <c r="D654" s="108"/>
      <c r="F654" s="66"/>
    </row>
    <row r="655">
      <c r="A655" s="84"/>
      <c r="B655" s="12"/>
      <c r="C655" s="12"/>
      <c r="D655" s="108"/>
      <c r="F655" s="66"/>
    </row>
    <row r="656">
      <c r="A656" s="84"/>
      <c r="B656" s="12"/>
      <c r="C656" s="12"/>
      <c r="D656" s="108"/>
      <c r="F656" s="66"/>
    </row>
    <row r="657">
      <c r="A657" s="84"/>
      <c r="B657" s="12"/>
      <c r="C657" s="12"/>
      <c r="D657" s="108"/>
      <c r="F657" s="66"/>
    </row>
    <row r="658">
      <c r="A658" s="84"/>
      <c r="B658" s="12"/>
      <c r="C658" s="12"/>
      <c r="D658" s="108"/>
      <c r="F658" s="66"/>
    </row>
    <row r="659">
      <c r="A659" s="84"/>
      <c r="B659" s="12"/>
      <c r="C659" s="12"/>
      <c r="D659" s="108"/>
      <c r="F659" s="66"/>
    </row>
    <row r="660">
      <c r="A660" s="84"/>
      <c r="B660" s="12"/>
      <c r="C660" s="12"/>
      <c r="D660" s="108"/>
      <c r="F660" s="66"/>
    </row>
    <row r="661">
      <c r="A661" s="84"/>
      <c r="B661" s="12"/>
      <c r="C661" s="12"/>
      <c r="D661" s="108"/>
      <c r="F661" s="66"/>
    </row>
    <row r="662">
      <c r="A662" s="84"/>
      <c r="B662" s="12"/>
      <c r="C662" s="12"/>
      <c r="D662" s="108"/>
      <c r="F662" s="66"/>
    </row>
    <row r="663">
      <c r="A663" s="84"/>
      <c r="B663" s="12"/>
      <c r="C663" s="12"/>
      <c r="D663" s="108"/>
      <c r="F663" s="66"/>
    </row>
    <row r="664">
      <c r="A664" s="84"/>
      <c r="B664" s="12"/>
      <c r="C664" s="12"/>
      <c r="D664" s="108"/>
      <c r="F664" s="66"/>
    </row>
    <row r="665">
      <c r="A665" s="84"/>
      <c r="B665" s="12"/>
      <c r="C665" s="12"/>
      <c r="D665" s="108"/>
      <c r="F665" s="66"/>
    </row>
    <row r="666">
      <c r="A666" s="84"/>
      <c r="B666" s="12"/>
      <c r="C666" s="12"/>
      <c r="D666" s="108"/>
      <c r="F666" s="66"/>
    </row>
    <row r="667">
      <c r="A667" s="84"/>
      <c r="B667" s="12"/>
      <c r="C667" s="12"/>
      <c r="D667" s="108"/>
      <c r="F667" s="66"/>
    </row>
    <row r="668">
      <c r="A668" s="84"/>
      <c r="B668" s="12"/>
      <c r="C668" s="12"/>
      <c r="D668" s="108"/>
      <c r="F668" s="66"/>
    </row>
    <row r="669">
      <c r="A669" s="84"/>
      <c r="B669" s="12"/>
      <c r="C669" s="12"/>
      <c r="D669" s="108"/>
      <c r="F669" s="66"/>
    </row>
    <row r="670">
      <c r="A670" s="84"/>
      <c r="B670" s="12"/>
      <c r="C670" s="12"/>
      <c r="D670" s="108"/>
      <c r="F670" s="66"/>
    </row>
    <row r="671">
      <c r="A671" s="84"/>
      <c r="B671" s="12"/>
      <c r="C671" s="12"/>
      <c r="D671" s="108"/>
      <c r="F671" s="66"/>
    </row>
    <row r="672">
      <c r="A672" s="84"/>
      <c r="B672" s="12"/>
      <c r="C672" s="12"/>
      <c r="D672" s="108"/>
      <c r="F672" s="66"/>
    </row>
    <row r="673">
      <c r="A673" s="84"/>
      <c r="B673" s="12"/>
      <c r="C673" s="12"/>
      <c r="D673" s="108"/>
      <c r="F673" s="66"/>
    </row>
    <row r="674">
      <c r="A674" s="84"/>
      <c r="B674" s="12"/>
      <c r="C674" s="12"/>
      <c r="D674" s="108"/>
      <c r="F674" s="66"/>
    </row>
    <row r="675">
      <c r="A675" s="84"/>
      <c r="B675" s="12"/>
      <c r="C675" s="12"/>
      <c r="D675" s="108"/>
      <c r="F675" s="66"/>
    </row>
    <row r="676">
      <c r="A676" s="84"/>
      <c r="B676" s="12"/>
      <c r="C676" s="12"/>
      <c r="D676" s="108"/>
      <c r="F676" s="66"/>
    </row>
    <row r="677">
      <c r="A677" s="84"/>
      <c r="B677" s="12"/>
      <c r="C677" s="12"/>
      <c r="D677" s="108"/>
      <c r="F677" s="66"/>
    </row>
    <row r="678">
      <c r="A678" s="84"/>
      <c r="B678" s="12"/>
      <c r="C678" s="12"/>
      <c r="D678" s="108"/>
      <c r="F678" s="66"/>
    </row>
    <row r="679">
      <c r="A679" s="84"/>
      <c r="B679" s="12"/>
      <c r="C679" s="12"/>
      <c r="D679" s="108"/>
      <c r="F679" s="66"/>
    </row>
    <row r="680">
      <c r="A680" s="84"/>
      <c r="B680" s="12"/>
      <c r="C680" s="12"/>
      <c r="D680" s="108"/>
      <c r="F680" s="66"/>
    </row>
    <row r="681">
      <c r="A681" s="84"/>
      <c r="B681" s="12"/>
      <c r="C681" s="12"/>
      <c r="D681" s="108"/>
      <c r="F681" s="66"/>
    </row>
    <row r="682">
      <c r="A682" s="84"/>
      <c r="B682" s="12"/>
      <c r="C682" s="12"/>
      <c r="D682" s="108"/>
      <c r="F682" s="66"/>
    </row>
    <row r="683">
      <c r="A683" s="84"/>
      <c r="B683" s="12"/>
      <c r="C683" s="12"/>
      <c r="D683" s="108"/>
      <c r="F683" s="66"/>
    </row>
    <row r="684">
      <c r="A684" s="84"/>
      <c r="B684" s="12"/>
      <c r="C684" s="12"/>
      <c r="D684" s="108"/>
      <c r="F684" s="66"/>
    </row>
    <row r="685">
      <c r="A685" s="84"/>
      <c r="B685" s="12"/>
      <c r="C685" s="12"/>
      <c r="D685" s="108"/>
      <c r="F685" s="66"/>
    </row>
    <row r="686">
      <c r="A686" s="84"/>
      <c r="B686" s="12"/>
      <c r="C686" s="12"/>
      <c r="D686" s="108"/>
      <c r="F686" s="66"/>
    </row>
    <row r="687">
      <c r="A687" s="84"/>
      <c r="B687" s="12"/>
      <c r="C687" s="12"/>
      <c r="D687" s="108"/>
      <c r="F687" s="66"/>
    </row>
    <row r="688">
      <c r="A688" s="84"/>
      <c r="B688" s="12"/>
      <c r="C688" s="12"/>
      <c r="D688" s="108"/>
      <c r="F688" s="66"/>
    </row>
    <row r="689">
      <c r="A689" s="84"/>
      <c r="B689" s="12"/>
      <c r="C689" s="12"/>
      <c r="D689" s="108"/>
      <c r="F689" s="66"/>
    </row>
    <row r="690">
      <c r="A690" s="84"/>
      <c r="B690" s="12"/>
      <c r="C690" s="12"/>
      <c r="D690" s="108"/>
      <c r="F690" s="66"/>
    </row>
    <row r="691">
      <c r="A691" s="84"/>
      <c r="B691" s="12"/>
      <c r="C691" s="12"/>
      <c r="D691" s="108"/>
      <c r="F691" s="66"/>
    </row>
    <row r="692">
      <c r="A692" s="84"/>
      <c r="B692" s="12"/>
      <c r="C692" s="12"/>
      <c r="D692" s="108"/>
      <c r="F692" s="66"/>
    </row>
    <row r="693">
      <c r="A693" s="84"/>
      <c r="B693" s="12"/>
      <c r="C693" s="12"/>
      <c r="D693" s="108"/>
      <c r="F693" s="66"/>
    </row>
    <row r="694">
      <c r="A694" s="84"/>
      <c r="B694" s="12"/>
      <c r="C694" s="12"/>
      <c r="D694" s="108"/>
      <c r="F694" s="66"/>
    </row>
    <row r="695">
      <c r="A695" s="84"/>
      <c r="B695" s="12"/>
      <c r="C695" s="12"/>
      <c r="D695" s="108"/>
      <c r="F695" s="66"/>
    </row>
    <row r="696">
      <c r="A696" s="84"/>
      <c r="B696" s="12"/>
      <c r="C696" s="12"/>
      <c r="D696" s="108"/>
      <c r="F696" s="66"/>
    </row>
    <row r="697">
      <c r="A697" s="84"/>
      <c r="B697" s="12"/>
      <c r="C697" s="12"/>
      <c r="D697" s="108"/>
      <c r="F697" s="66"/>
    </row>
    <row r="698">
      <c r="A698" s="84"/>
      <c r="B698" s="12"/>
      <c r="C698" s="12"/>
      <c r="D698" s="108"/>
      <c r="F698" s="66"/>
    </row>
    <row r="699">
      <c r="A699" s="84"/>
      <c r="B699" s="12"/>
      <c r="C699" s="12"/>
      <c r="D699" s="108"/>
      <c r="F699" s="66"/>
    </row>
    <row r="700">
      <c r="A700" s="84"/>
      <c r="B700" s="12"/>
      <c r="C700" s="12"/>
      <c r="D700" s="108"/>
      <c r="F700" s="66"/>
    </row>
    <row r="701">
      <c r="A701" s="84"/>
      <c r="B701" s="12"/>
      <c r="C701" s="12"/>
      <c r="D701" s="108"/>
      <c r="F701" s="66"/>
    </row>
    <row r="702">
      <c r="A702" s="84"/>
      <c r="B702" s="12"/>
      <c r="C702" s="12"/>
      <c r="D702" s="108"/>
      <c r="F702" s="66"/>
    </row>
    <row r="703">
      <c r="A703" s="84"/>
      <c r="B703" s="12"/>
      <c r="C703" s="12"/>
      <c r="D703" s="108"/>
      <c r="F703" s="66"/>
    </row>
    <row r="704">
      <c r="A704" s="84"/>
      <c r="B704" s="12"/>
      <c r="C704" s="12"/>
      <c r="D704" s="108"/>
      <c r="F704" s="66"/>
    </row>
    <row r="705">
      <c r="A705" s="84"/>
      <c r="B705" s="12"/>
      <c r="C705" s="12"/>
      <c r="D705" s="108"/>
      <c r="F705" s="66"/>
    </row>
    <row r="706">
      <c r="A706" s="84"/>
      <c r="B706" s="12"/>
      <c r="C706" s="12"/>
      <c r="D706" s="108"/>
      <c r="F706" s="66"/>
    </row>
    <row r="707">
      <c r="A707" s="84"/>
      <c r="B707" s="12"/>
      <c r="C707" s="12"/>
      <c r="D707" s="108"/>
      <c r="F707" s="66"/>
    </row>
    <row r="708">
      <c r="A708" s="84"/>
      <c r="B708" s="12"/>
      <c r="C708" s="12"/>
      <c r="D708" s="108"/>
      <c r="F708" s="66"/>
    </row>
    <row r="709">
      <c r="A709" s="84"/>
      <c r="B709" s="12"/>
      <c r="C709" s="12"/>
      <c r="D709" s="108"/>
      <c r="F709" s="66"/>
    </row>
    <row r="710">
      <c r="A710" s="84"/>
      <c r="B710" s="12"/>
      <c r="C710" s="12"/>
      <c r="D710" s="108"/>
      <c r="F710" s="66"/>
    </row>
    <row r="711">
      <c r="A711" s="84"/>
      <c r="B711" s="12"/>
      <c r="C711" s="12"/>
      <c r="D711" s="108"/>
      <c r="F711" s="66"/>
    </row>
    <row r="712">
      <c r="A712" s="84"/>
      <c r="B712" s="12"/>
      <c r="C712" s="12"/>
      <c r="D712" s="108"/>
      <c r="F712" s="66"/>
    </row>
    <row r="713">
      <c r="A713" s="84"/>
      <c r="B713" s="12"/>
      <c r="C713" s="12"/>
      <c r="D713" s="108"/>
      <c r="F713" s="66"/>
    </row>
    <row r="714">
      <c r="A714" s="84"/>
      <c r="B714" s="12"/>
      <c r="C714" s="12"/>
      <c r="D714" s="108"/>
      <c r="F714" s="66"/>
    </row>
    <row r="715">
      <c r="A715" s="84"/>
      <c r="B715" s="12"/>
      <c r="C715" s="12"/>
      <c r="D715" s="108"/>
      <c r="F715" s="66"/>
    </row>
    <row r="716">
      <c r="A716" s="84"/>
      <c r="B716" s="12"/>
      <c r="C716" s="12"/>
      <c r="D716" s="108"/>
      <c r="F716" s="66"/>
    </row>
    <row r="717">
      <c r="A717" s="84"/>
      <c r="B717" s="12"/>
      <c r="C717" s="12"/>
      <c r="D717" s="108"/>
      <c r="F717" s="66"/>
    </row>
    <row r="718">
      <c r="A718" s="84"/>
      <c r="B718" s="12"/>
      <c r="C718" s="12"/>
      <c r="D718" s="108"/>
      <c r="F718" s="66"/>
    </row>
    <row r="719">
      <c r="A719" s="84"/>
      <c r="B719" s="12"/>
      <c r="C719" s="12"/>
      <c r="D719" s="108"/>
      <c r="F719" s="66"/>
    </row>
    <row r="720">
      <c r="A720" s="84"/>
      <c r="B720" s="12"/>
      <c r="C720" s="12"/>
      <c r="D720" s="108"/>
      <c r="F720" s="66"/>
    </row>
    <row r="721">
      <c r="A721" s="84"/>
      <c r="B721" s="12"/>
      <c r="C721" s="12"/>
      <c r="D721" s="108"/>
      <c r="F721" s="66"/>
    </row>
    <row r="722">
      <c r="A722" s="84"/>
      <c r="B722" s="12"/>
      <c r="C722" s="12"/>
      <c r="D722" s="108"/>
      <c r="F722" s="66"/>
    </row>
    <row r="723">
      <c r="A723" s="84"/>
      <c r="B723" s="12"/>
      <c r="C723" s="12"/>
      <c r="D723" s="108"/>
      <c r="F723" s="66"/>
    </row>
    <row r="724">
      <c r="A724" s="84"/>
      <c r="B724" s="12"/>
      <c r="C724" s="12"/>
      <c r="D724" s="108"/>
      <c r="F724" s="66"/>
    </row>
    <row r="725">
      <c r="A725" s="84"/>
      <c r="B725" s="12"/>
      <c r="C725" s="12"/>
      <c r="D725" s="108"/>
      <c r="F725" s="66"/>
    </row>
    <row r="726">
      <c r="A726" s="84"/>
      <c r="B726" s="12"/>
      <c r="C726" s="12"/>
      <c r="D726" s="108"/>
      <c r="F726" s="66"/>
    </row>
    <row r="727">
      <c r="A727" s="84"/>
      <c r="B727" s="12"/>
      <c r="C727" s="12"/>
      <c r="D727" s="108"/>
      <c r="F727" s="66"/>
    </row>
    <row r="728">
      <c r="A728" s="84"/>
      <c r="B728" s="12"/>
      <c r="C728" s="12"/>
      <c r="D728" s="108"/>
      <c r="F728" s="66"/>
    </row>
    <row r="729">
      <c r="A729" s="84"/>
      <c r="B729" s="12"/>
      <c r="C729" s="12"/>
      <c r="D729" s="108"/>
      <c r="F729" s="66"/>
    </row>
    <row r="730">
      <c r="A730" s="84"/>
      <c r="B730" s="12"/>
      <c r="C730" s="12"/>
      <c r="D730" s="108"/>
      <c r="F730" s="66"/>
    </row>
    <row r="731">
      <c r="A731" s="84"/>
      <c r="B731" s="12"/>
      <c r="C731" s="12"/>
      <c r="D731" s="108"/>
      <c r="F731" s="66"/>
    </row>
    <row r="732">
      <c r="A732" s="84"/>
      <c r="B732" s="12"/>
      <c r="C732" s="12"/>
      <c r="D732" s="108"/>
      <c r="F732" s="66"/>
    </row>
    <row r="733">
      <c r="A733" s="84"/>
      <c r="B733" s="12"/>
      <c r="C733" s="12"/>
      <c r="D733" s="108"/>
      <c r="F733" s="66"/>
    </row>
    <row r="734">
      <c r="A734" s="84"/>
      <c r="B734" s="12"/>
      <c r="C734" s="12"/>
      <c r="D734" s="108"/>
      <c r="F734" s="66"/>
    </row>
    <row r="735">
      <c r="A735" s="84"/>
      <c r="B735" s="12"/>
      <c r="C735" s="12"/>
      <c r="D735" s="108"/>
      <c r="F735" s="66"/>
    </row>
    <row r="736">
      <c r="A736" s="84"/>
      <c r="B736" s="12"/>
      <c r="C736" s="12"/>
      <c r="D736" s="108"/>
      <c r="F736" s="66"/>
    </row>
    <row r="737">
      <c r="A737" s="84"/>
      <c r="B737" s="12"/>
      <c r="C737" s="12"/>
      <c r="D737" s="108"/>
      <c r="F737" s="66"/>
    </row>
    <row r="738">
      <c r="A738" s="84"/>
      <c r="B738" s="12"/>
      <c r="C738" s="12"/>
      <c r="D738" s="108"/>
      <c r="F738" s="66"/>
    </row>
    <row r="739">
      <c r="A739" s="84"/>
      <c r="B739" s="12"/>
      <c r="C739" s="12"/>
      <c r="D739" s="108"/>
      <c r="F739" s="66"/>
    </row>
    <row r="740">
      <c r="A740" s="84"/>
      <c r="B740" s="12"/>
      <c r="C740" s="12"/>
      <c r="D740" s="108"/>
      <c r="F740" s="66"/>
    </row>
    <row r="741">
      <c r="A741" s="84"/>
      <c r="B741" s="12"/>
      <c r="C741" s="12"/>
      <c r="D741" s="108"/>
      <c r="F741" s="66"/>
    </row>
    <row r="742">
      <c r="A742" s="84"/>
      <c r="B742" s="12"/>
      <c r="C742" s="12"/>
      <c r="D742" s="108"/>
      <c r="F742" s="66"/>
    </row>
    <row r="743">
      <c r="A743" s="84"/>
      <c r="B743" s="12"/>
      <c r="C743" s="12"/>
      <c r="D743" s="108"/>
      <c r="F743" s="66"/>
    </row>
    <row r="744">
      <c r="A744" s="84"/>
      <c r="B744" s="12"/>
      <c r="C744" s="12"/>
      <c r="D744" s="108"/>
      <c r="F744" s="66"/>
    </row>
    <row r="745">
      <c r="A745" s="84"/>
      <c r="B745" s="12"/>
      <c r="C745" s="12"/>
      <c r="D745" s="108"/>
      <c r="F745" s="66"/>
    </row>
    <row r="746">
      <c r="A746" s="84"/>
      <c r="B746" s="12"/>
      <c r="C746" s="12"/>
      <c r="D746" s="108"/>
      <c r="F746" s="66"/>
    </row>
    <row r="747">
      <c r="A747" s="84"/>
      <c r="B747" s="12"/>
      <c r="C747" s="12"/>
      <c r="D747" s="108"/>
      <c r="F747" s="66"/>
    </row>
    <row r="748">
      <c r="A748" s="84"/>
      <c r="B748" s="12"/>
      <c r="C748" s="12"/>
      <c r="D748" s="108"/>
      <c r="F748" s="66"/>
    </row>
    <row r="749">
      <c r="A749" s="84"/>
      <c r="B749" s="12"/>
      <c r="C749" s="12"/>
      <c r="D749" s="108"/>
      <c r="F749" s="66"/>
    </row>
    <row r="750">
      <c r="A750" s="84"/>
      <c r="B750" s="12"/>
      <c r="C750" s="12"/>
      <c r="D750" s="108"/>
      <c r="F750" s="66"/>
    </row>
    <row r="751">
      <c r="A751" s="84"/>
      <c r="B751" s="12"/>
      <c r="C751" s="12"/>
      <c r="D751" s="108"/>
      <c r="F751" s="66"/>
    </row>
    <row r="752">
      <c r="A752" s="84"/>
      <c r="B752" s="12"/>
      <c r="C752" s="12"/>
      <c r="D752" s="108"/>
      <c r="F752" s="66"/>
    </row>
    <row r="753">
      <c r="A753" s="84"/>
      <c r="B753" s="12"/>
      <c r="C753" s="12"/>
      <c r="D753" s="108"/>
      <c r="F753" s="66"/>
    </row>
    <row r="754">
      <c r="A754" s="84"/>
      <c r="B754" s="12"/>
      <c r="C754" s="12"/>
      <c r="D754" s="108"/>
      <c r="F754" s="66"/>
    </row>
    <row r="755">
      <c r="A755" s="84"/>
      <c r="B755" s="12"/>
      <c r="C755" s="12"/>
      <c r="D755" s="108"/>
      <c r="F755" s="66"/>
    </row>
    <row r="756">
      <c r="A756" s="84"/>
      <c r="B756" s="12"/>
      <c r="C756" s="12"/>
      <c r="D756" s="108"/>
      <c r="F756" s="66"/>
    </row>
    <row r="757">
      <c r="A757" s="84"/>
      <c r="B757" s="12"/>
      <c r="C757" s="12"/>
      <c r="D757" s="108"/>
      <c r="F757" s="66"/>
    </row>
    <row r="758">
      <c r="A758" s="84"/>
      <c r="B758" s="12"/>
      <c r="C758" s="12"/>
      <c r="D758" s="108"/>
      <c r="F758" s="66"/>
    </row>
    <row r="759">
      <c r="A759" s="84"/>
      <c r="B759" s="12"/>
      <c r="C759" s="12"/>
      <c r="D759" s="108"/>
      <c r="F759" s="66"/>
    </row>
    <row r="760">
      <c r="A760" s="84"/>
      <c r="B760" s="12"/>
      <c r="C760" s="12"/>
      <c r="D760" s="108"/>
      <c r="F760" s="66"/>
    </row>
    <row r="761">
      <c r="A761" s="84"/>
      <c r="B761" s="12"/>
      <c r="C761" s="12"/>
      <c r="D761" s="108"/>
      <c r="F761" s="66"/>
    </row>
    <row r="762">
      <c r="A762" s="84"/>
      <c r="B762" s="12"/>
      <c r="C762" s="12"/>
      <c r="D762" s="108"/>
      <c r="F762" s="66"/>
    </row>
    <row r="763">
      <c r="A763" s="84"/>
      <c r="B763" s="12"/>
      <c r="C763" s="12"/>
      <c r="D763" s="108"/>
      <c r="F763" s="66"/>
    </row>
    <row r="764">
      <c r="A764" s="84"/>
      <c r="B764" s="12"/>
      <c r="C764" s="12"/>
      <c r="D764" s="108"/>
      <c r="F764" s="66"/>
    </row>
    <row r="765">
      <c r="A765" s="84"/>
      <c r="B765" s="12"/>
      <c r="C765" s="12"/>
      <c r="D765" s="108"/>
      <c r="F765" s="66"/>
    </row>
    <row r="766">
      <c r="A766" s="84"/>
      <c r="B766" s="12"/>
      <c r="C766" s="12"/>
      <c r="D766" s="108"/>
      <c r="F766" s="66"/>
    </row>
    <row r="767">
      <c r="A767" s="84"/>
      <c r="B767" s="12"/>
      <c r="C767" s="12"/>
      <c r="D767" s="108"/>
      <c r="F767" s="66"/>
    </row>
    <row r="768">
      <c r="A768" s="84"/>
      <c r="B768" s="12"/>
      <c r="C768" s="12"/>
      <c r="D768" s="108"/>
      <c r="F768" s="66"/>
    </row>
    <row r="769">
      <c r="A769" s="84"/>
      <c r="B769" s="12"/>
      <c r="C769" s="12"/>
      <c r="D769" s="108"/>
      <c r="F769" s="66"/>
    </row>
    <row r="770">
      <c r="A770" s="84"/>
      <c r="B770" s="12"/>
      <c r="C770" s="12"/>
      <c r="D770" s="108"/>
      <c r="F770" s="66"/>
    </row>
    <row r="771">
      <c r="A771" s="84"/>
      <c r="B771" s="12"/>
      <c r="C771" s="12"/>
      <c r="D771" s="108"/>
      <c r="F771" s="66"/>
    </row>
    <row r="772">
      <c r="A772" s="84"/>
      <c r="B772" s="12"/>
      <c r="C772" s="12"/>
      <c r="D772" s="108"/>
      <c r="F772" s="66"/>
    </row>
    <row r="773">
      <c r="A773" s="84"/>
      <c r="B773" s="12"/>
      <c r="C773" s="12"/>
      <c r="D773" s="108"/>
      <c r="F773" s="66"/>
    </row>
    <row r="774">
      <c r="A774" s="84"/>
      <c r="B774" s="12"/>
      <c r="C774" s="12"/>
      <c r="D774" s="108"/>
      <c r="F774" s="66"/>
    </row>
    <row r="775">
      <c r="A775" s="84"/>
      <c r="B775" s="12"/>
      <c r="C775" s="12"/>
      <c r="D775" s="108"/>
      <c r="F775" s="66"/>
    </row>
    <row r="776">
      <c r="A776" s="84"/>
      <c r="B776" s="12"/>
      <c r="C776" s="12"/>
      <c r="D776" s="108"/>
      <c r="F776" s="66"/>
    </row>
    <row r="777">
      <c r="A777" s="84"/>
      <c r="B777" s="12"/>
      <c r="C777" s="12"/>
      <c r="D777" s="108"/>
      <c r="F777" s="66"/>
    </row>
    <row r="778">
      <c r="A778" s="84"/>
      <c r="B778" s="12"/>
      <c r="C778" s="12"/>
      <c r="D778" s="108"/>
      <c r="F778" s="66"/>
    </row>
    <row r="779">
      <c r="A779" s="84"/>
      <c r="B779" s="12"/>
      <c r="C779" s="12"/>
      <c r="D779" s="108"/>
      <c r="F779" s="66"/>
    </row>
    <row r="780">
      <c r="A780" s="84"/>
      <c r="B780" s="12"/>
      <c r="C780" s="12"/>
      <c r="D780" s="108"/>
      <c r="F780" s="66"/>
    </row>
    <row r="781">
      <c r="A781" s="84"/>
      <c r="B781" s="12"/>
      <c r="C781" s="12"/>
      <c r="D781" s="108"/>
      <c r="F781" s="66"/>
    </row>
    <row r="782">
      <c r="A782" s="84"/>
      <c r="B782" s="12"/>
      <c r="C782" s="12"/>
      <c r="D782" s="108"/>
      <c r="F782" s="66"/>
    </row>
    <row r="783">
      <c r="A783" s="84"/>
      <c r="B783" s="12"/>
      <c r="C783" s="12"/>
      <c r="D783" s="108"/>
      <c r="F783" s="66"/>
    </row>
    <row r="784">
      <c r="A784" s="84"/>
      <c r="B784" s="12"/>
      <c r="C784" s="12"/>
      <c r="D784" s="108"/>
      <c r="F784" s="66"/>
    </row>
    <row r="785">
      <c r="A785" s="84"/>
      <c r="B785" s="12"/>
      <c r="C785" s="12"/>
      <c r="D785" s="108"/>
      <c r="F785" s="66"/>
    </row>
    <row r="786">
      <c r="A786" s="84"/>
      <c r="B786" s="12"/>
      <c r="C786" s="12"/>
      <c r="D786" s="108"/>
      <c r="F786" s="66"/>
    </row>
    <row r="787">
      <c r="A787" s="84"/>
      <c r="B787" s="12"/>
      <c r="C787" s="12"/>
      <c r="D787" s="108"/>
      <c r="F787" s="66"/>
    </row>
    <row r="788">
      <c r="A788" s="84"/>
      <c r="B788" s="12"/>
      <c r="C788" s="12"/>
      <c r="D788" s="108"/>
      <c r="F788" s="66"/>
    </row>
    <row r="789">
      <c r="A789" s="84"/>
      <c r="B789" s="12"/>
      <c r="C789" s="12"/>
      <c r="D789" s="108"/>
      <c r="F789" s="66"/>
    </row>
    <row r="790">
      <c r="A790" s="84"/>
      <c r="B790" s="12"/>
      <c r="C790" s="12"/>
      <c r="D790" s="108"/>
      <c r="F790" s="66"/>
    </row>
    <row r="791">
      <c r="A791" s="84"/>
      <c r="B791" s="12"/>
      <c r="C791" s="12"/>
      <c r="D791" s="108"/>
      <c r="F791" s="66"/>
    </row>
    <row r="792">
      <c r="A792" s="84"/>
      <c r="B792" s="12"/>
      <c r="C792" s="12"/>
      <c r="D792" s="108"/>
      <c r="F792" s="66"/>
    </row>
    <row r="793">
      <c r="A793" s="84"/>
      <c r="B793" s="12"/>
      <c r="C793" s="12"/>
      <c r="D793" s="108"/>
      <c r="F793" s="66"/>
    </row>
    <row r="794">
      <c r="A794" s="84"/>
      <c r="B794" s="12"/>
      <c r="C794" s="12"/>
      <c r="D794" s="108"/>
      <c r="F794" s="66"/>
    </row>
    <row r="795">
      <c r="A795" s="84"/>
      <c r="B795" s="12"/>
      <c r="C795" s="12"/>
      <c r="D795" s="108"/>
      <c r="F795" s="66"/>
    </row>
    <row r="796">
      <c r="A796" s="84"/>
      <c r="B796" s="12"/>
      <c r="C796" s="12"/>
      <c r="D796" s="108"/>
      <c r="F796" s="66"/>
    </row>
    <row r="797">
      <c r="A797" s="84"/>
      <c r="B797" s="12"/>
      <c r="C797" s="12"/>
      <c r="D797" s="108"/>
      <c r="F797" s="66"/>
    </row>
    <row r="798">
      <c r="A798" s="84"/>
      <c r="B798" s="12"/>
      <c r="C798" s="12"/>
      <c r="D798" s="108"/>
      <c r="F798" s="66"/>
    </row>
    <row r="799">
      <c r="A799" s="84"/>
      <c r="B799" s="12"/>
      <c r="C799" s="12"/>
      <c r="D799" s="108"/>
      <c r="F799" s="66"/>
    </row>
    <row r="800">
      <c r="A800" s="84"/>
      <c r="B800" s="12"/>
      <c r="C800" s="12"/>
      <c r="D800" s="108"/>
      <c r="F800" s="66"/>
    </row>
    <row r="801">
      <c r="A801" s="84"/>
      <c r="B801" s="12"/>
      <c r="C801" s="12"/>
      <c r="D801" s="108"/>
      <c r="F801" s="66"/>
    </row>
    <row r="802">
      <c r="A802" s="84"/>
      <c r="B802" s="12"/>
      <c r="C802" s="12"/>
      <c r="D802" s="108"/>
      <c r="F802" s="66"/>
    </row>
    <row r="803">
      <c r="A803" s="84"/>
      <c r="B803" s="12"/>
      <c r="C803" s="12"/>
      <c r="D803" s="108"/>
      <c r="F803" s="66"/>
    </row>
    <row r="804">
      <c r="A804" s="84"/>
      <c r="B804" s="12"/>
      <c r="C804" s="12"/>
      <c r="D804" s="108"/>
      <c r="F804" s="66"/>
    </row>
    <row r="805">
      <c r="A805" s="84"/>
      <c r="B805" s="12"/>
      <c r="C805" s="12"/>
      <c r="D805" s="108"/>
      <c r="F805" s="66"/>
    </row>
    <row r="806">
      <c r="A806" s="84"/>
      <c r="B806" s="12"/>
      <c r="C806" s="12"/>
      <c r="D806" s="108"/>
      <c r="F806" s="66"/>
    </row>
    <row r="807">
      <c r="A807" s="84"/>
      <c r="B807" s="12"/>
      <c r="C807" s="12"/>
      <c r="D807" s="108"/>
      <c r="F807" s="66"/>
    </row>
    <row r="808">
      <c r="A808" s="84"/>
      <c r="B808" s="12"/>
      <c r="C808" s="12"/>
      <c r="D808" s="108"/>
      <c r="F808" s="66"/>
    </row>
    <row r="809">
      <c r="A809" s="84"/>
      <c r="B809" s="12"/>
      <c r="C809" s="12"/>
      <c r="D809" s="108"/>
      <c r="F809" s="66"/>
    </row>
    <row r="810">
      <c r="A810" s="84"/>
      <c r="B810" s="12"/>
      <c r="C810" s="12"/>
      <c r="D810" s="108"/>
      <c r="F810" s="66"/>
    </row>
    <row r="811">
      <c r="A811" s="84"/>
      <c r="B811" s="12"/>
      <c r="C811" s="12"/>
      <c r="D811" s="108"/>
      <c r="F811" s="66"/>
    </row>
    <row r="812">
      <c r="A812" s="84"/>
      <c r="B812" s="12"/>
      <c r="C812" s="12"/>
      <c r="D812" s="108"/>
      <c r="F812" s="66"/>
    </row>
    <row r="813">
      <c r="A813" s="84"/>
      <c r="B813" s="12"/>
      <c r="C813" s="12"/>
      <c r="D813" s="108"/>
      <c r="F813" s="66"/>
    </row>
    <row r="814">
      <c r="A814" s="84"/>
      <c r="B814" s="12"/>
      <c r="C814" s="12"/>
      <c r="D814" s="108"/>
      <c r="F814" s="66"/>
    </row>
    <row r="815">
      <c r="A815" s="84"/>
      <c r="B815" s="12"/>
      <c r="C815" s="12"/>
      <c r="D815" s="108"/>
      <c r="F815" s="66"/>
    </row>
    <row r="816">
      <c r="A816" s="84"/>
      <c r="B816" s="12"/>
      <c r="C816" s="12"/>
      <c r="D816" s="108"/>
      <c r="F816" s="66"/>
    </row>
    <row r="817">
      <c r="A817" s="84"/>
      <c r="B817" s="12"/>
      <c r="C817" s="12"/>
      <c r="D817" s="108"/>
      <c r="F817" s="66"/>
    </row>
    <row r="818">
      <c r="A818" s="84"/>
      <c r="B818" s="12"/>
      <c r="C818" s="12"/>
      <c r="D818" s="108"/>
      <c r="F818" s="66"/>
    </row>
    <row r="819">
      <c r="A819" s="84"/>
      <c r="B819" s="12"/>
      <c r="C819" s="12"/>
      <c r="D819" s="108"/>
      <c r="F819" s="66"/>
    </row>
    <row r="820">
      <c r="A820" s="84"/>
      <c r="B820" s="12"/>
      <c r="C820" s="12"/>
      <c r="D820" s="108"/>
      <c r="F820" s="66"/>
    </row>
    <row r="821">
      <c r="A821" s="84"/>
      <c r="B821" s="12"/>
      <c r="C821" s="12"/>
      <c r="D821" s="108"/>
      <c r="F821" s="66"/>
    </row>
    <row r="822">
      <c r="A822" s="84"/>
      <c r="B822" s="12"/>
      <c r="C822" s="12"/>
      <c r="D822" s="108"/>
      <c r="F822" s="66"/>
    </row>
    <row r="823">
      <c r="A823" s="84"/>
      <c r="B823" s="12"/>
      <c r="C823" s="12"/>
      <c r="D823" s="108"/>
      <c r="F823" s="66"/>
    </row>
    <row r="824">
      <c r="A824" s="84"/>
      <c r="B824" s="12"/>
      <c r="C824" s="12"/>
      <c r="D824" s="108"/>
      <c r="F824" s="66"/>
    </row>
    <row r="825">
      <c r="A825" s="84"/>
      <c r="B825" s="12"/>
      <c r="C825" s="12"/>
      <c r="D825" s="108"/>
      <c r="F825" s="66"/>
    </row>
    <row r="826">
      <c r="A826" s="84"/>
      <c r="B826" s="12"/>
      <c r="C826" s="12"/>
      <c r="D826" s="108"/>
      <c r="F826" s="66"/>
    </row>
    <row r="827">
      <c r="A827" s="84"/>
      <c r="B827" s="12"/>
      <c r="C827" s="12"/>
      <c r="D827" s="108"/>
      <c r="F827" s="66"/>
    </row>
    <row r="828">
      <c r="A828" s="84"/>
      <c r="B828" s="12"/>
      <c r="C828" s="12"/>
      <c r="D828" s="108"/>
      <c r="F828" s="66"/>
    </row>
    <row r="829">
      <c r="A829" s="84"/>
      <c r="B829" s="12"/>
      <c r="C829" s="12"/>
      <c r="D829" s="108"/>
      <c r="F829" s="66"/>
    </row>
    <row r="830">
      <c r="A830" s="84"/>
      <c r="B830" s="12"/>
      <c r="C830" s="12"/>
      <c r="D830" s="108"/>
      <c r="F830" s="66"/>
    </row>
    <row r="831">
      <c r="A831" s="84"/>
      <c r="B831" s="12"/>
      <c r="C831" s="12"/>
      <c r="D831" s="108"/>
      <c r="F831" s="66"/>
    </row>
    <row r="832">
      <c r="A832" s="84"/>
      <c r="B832" s="12"/>
      <c r="C832" s="12"/>
      <c r="D832" s="108"/>
      <c r="F832" s="66"/>
    </row>
    <row r="833">
      <c r="A833" s="84"/>
      <c r="B833" s="12"/>
      <c r="C833" s="12"/>
      <c r="D833" s="108"/>
      <c r="F833" s="66"/>
    </row>
    <row r="834">
      <c r="A834" s="84"/>
      <c r="B834" s="12"/>
      <c r="C834" s="12"/>
      <c r="D834" s="108"/>
      <c r="F834" s="66"/>
    </row>
    <row r="835">
      <c r="A835" s="84"/>
      <c r="B835" s="12"/>
      <c r="C835" s="12"/>
      <c r="D835" s="108"/>
      <c r="F835" s="66"/>
    </row>
    <row r="836">
      <c r="A836" s="84"/>
      <c r="B836" s="12"/>
      <c r="C836" s="12"/>
      <c r="D836" s="108"/>
      <c r="F836" s="66"/>
    </row>
    <row r="837">
      <c r="A837" s="84"/>
      <c r="B837" s="12"/>
      <c r="C837" s="12"/>
      <c r="D837" s="108"/>
      <c r="F837" s="66"/>
    </row>
    <row r="838">
      <c r="A838" s="84"/>
      <c r="B838" s="12"/>
      <c r="C838" s="12"/>
      <c r="D838" s="108"/>
      <c r="F838" s="66"/>
    </row>
    <row r="839">
      <c r="A839" s="84"/>
      <c r="B839" s="12"/>
      <c r="C839" s="12"/>
      <c r="D839" s="108"/>
      <c r="F839" s="66"/>
    </row>
    <row r="840">
      <c r="A840" s="84"/>
      <c r="B840" s="12"/>
      <c r="C840" s="12"/>
      <c r="D840" s="108"/>
      <c r="F840" s="66"/>
    </row>
    <row r="841">
      <c r="A841" s="84"/>
      <c r="B841" s="12"/>
      <c r="C841" s="12"/>
      <c r="D841" s="108"/>
      <c r="F841" s="66"/>
    </row>
    <row r="842">
      <c r="A842" s="84"/>
      <c r="B842" s="12"/>
      <c r="C842" s="12"/>
      <c r="D842" s="108"/>
      <c r="F842" s="66"/>
    </row>
    <row r="843">
      <c r="A843" s="84"/>
      <c r="B843" s="12"/>
      <c r="C843" s="12"/>
      <c r="D843" s="108"/>
      <c r="F843" s="66"/>
    </row>
    <row r="844">
      <c r="A844" s="84"/>
      <c r="B844" s="12"/>
      <c r="C844" s="12"/>
      <c r="D844" s="108"/>
      <c r="F844" s="66"/>
    </row>
    <row r="845">
      <c r="A845" s="84"/>
      <c r="B845" s="12"/>
      <c r="C845" s="12"/>
      <c r="D845" s="108"/>
      <c r="F845" s="66"/>
    </row>
    <row r="846">
      <c r="A846" s="84"/>
      <c r="B846" s="12"/>
      <c r="C846" s="12"/>
      <c r="D846" s="108"/>
      <c r="F846" s="66"/>
    </row>
    <row r="847">
      <c r="A847" s="84"/>
      <c r="B847" s="12"/>
      <c r="C847" s="12"/>
      <c r="D847" s="108"/>
      <c r="F847" s="66"/>
    </row>
    <row r="848">
      <c r="A848" s="84"/>
      <c r="B848" s="12"/>
      <c r="C848" s="12"/>
      <c r="D848" s="108"/>
      <c r="F848" s="66"/>
    </row>
    <row r="849">
      <c r="A849" s="84"/>
      <c r="B849" s="12"/>
      <c r="C849" s="12"/>
      <c r="D849" s="108"/>
      <c r="F849" s="66"/>
    </row>
    <row r="850">
      <c r="A850" s="84"/>
      <c r="B850" s="12"/>
      <c r="C850" s="12"/>
      <c r="D850" s="108"/>
      <c r="F850" s="66"/>
    </row>
    <row r="851">
      <c r="A851" s="84"/>
      <c r="B851" s="12"/>
      <c r="C851" s="12"/>
      <c r="D851" s="108"/>
      <c r="F851" s="66"/>
    </row>
    <row r="852">
      <c r="A852" s="84"/>
      <c r="B852" s="12"/>
      <c r="C852" s="12"/>
      <c r="D852" s="108"/>
      <c r="F852" s="66"/>
    </row>
    <row r="853">
      <c r="A853" s="84"/>
      <c r="B853" s="12"/>
      <c r="C853" s="12"/>
      <c r="D853" s="108"/>
      <c r="F853" s="66"/>
    </row>
    <row r="854">
      <c r="A854" s="84"/>
      <c r="B854" s="12"/>
      <c r="C854" s="12"/>
      <c r="D854" s="108"/>
      <c r="F854" s="66"/>
    </row>
    <row r="855">
      <c r="A855" s="84"/>
      <c r="B855" s="12"/>
      <c r="C855" s="12"/>
      <c r="D855" s="108"/>
      <c r="F855" s="66"/>
    </row>
    <row r="856">
      <c r="A856" s="84"/>
      <c r="B856" s="12"/>
      <c r="C856" s="12"/>
      <c r="D856" s="108"/>
      <c r="F856" s="66"/>
    </row>
    <row r="857">
      <c r="A857" s="84"/>
      <c r="B857" s="12"/>
      <c r="C857" s="12"/>
      <c r="D857" s="108"/>
      <c r="F857" s="66"/>
    </row>
    <row r="858">
      <c r="A858" s="84"/>
      <c r="B858" s="12"/>
      <c r="C858" s="12"/>
      <c r="D858" s="108"/>
      <c r="F858" s="66"/>
    </row>
    <row r="859">
      <c r="A859" s="84"/>
      <c r="B859" s="12"/>
      <c r="C859" s="12"/>
      <c r="D859" s="108"/>
      <c r="F859" s="66"/>
    </row>
    <row r="860">
      <c r="A860" s="84"/>
      <c r="B860" s="12"/>
      <c r="C860" s="12"/>
      <c r="D860" s="108"/>
      <c r="F860" s="66"/>
    </row>
    <row r="861">
      <c r="A861" s="84"/>
      <c r="B861" s="12"/>
      <c r="C861" s="12"/>
      <c r="D861" s="108"/>
      <c r="F861" s="66"/>
    </row>
    <row r="862">
      <c r="A862" s="84"/>
      <c r="B862" s="12"/>
      <c r="C862" s="12"/>
      <c r="D862" s="108"/>
      <c r="F862" s="66"/>
    </row>
    <row r="863">
      <c r="A863" s="84"/>
      <c r="B863" s="12"/>
      <c r="C863" s="12"/>
      <c r="D863" s="108"/>
      <c r="F863" s="66"/>
    </row>
    <row r="864">
      <c r="A864" s="84"/>
      <c r="B864" s="12"/>
      <c r="C864" s="12"/>
      <c r="D864" s="108"/>
      <c r="F864" s="66"/>
    </row>
    <row r="865">
      <c r="A865" s="84"/>
      <c r="B865" s="12"/>
      <c r="C865" s="12"/>
      <c r="D865" s="108"/>
      <c r="F865" s="66"/>
    </row>
    <row r="866">
      <c r="A866" s="84"/>
      <c r="B866" s="12"/>
      <c r="C866" s="12"/>
      <c r="D866" s="108"/>
      <c r="F866" s="66"/>
    </row>
    <row r="867">
      <c r="A867" s="84"/>
      <c r="B867" s="12"/>
      <c r="C867" s="12"/>
      <c r="D867" s="108"/>
      <c r="F867" s="66"/>
    </row>
    <row r="868">
      <c r="A868" s="84"/>
      <c r="B868" s="12"/>
      <c r="C868" s="12"/>
      <c r="D868" s="108"/>
      <c r="F868" s="66"/>
    </row>
    <row r="869">
      <c r="A869" s="84"/>
      <c r="B869" s="12"/>
      <c r="C869" s="12"/>
      <c r="D869" s="108"/>
      <c r="F869" s="66"/>
    </row>
    <row r="870">
      <c r="A870" s="84"/>
      <c r="B870" s="12"/>
      <c r="C870" s="12"/>
      <c r="D870" s="108"/>
      <c r="F870" s="66"/>
    </row>
    <row r="871">
      <c r="A871" s="84"/>
      <c r="B871" s="12"/>
      <c r="C871" s="12"/>
      <c r="D871" s="108"/>
      <c r="F871" s="66"/>
    </row>
    <row r="872">
      <c r="A872" s="84"/>
      <c r="B872" s="12"/>
      <c r="C872" s="12"/>
      <c r="D872" s="108"/>
      <c r="F872" s="66"/>
    </row>
    <row r="873">
      <c r="A873" s="84"/>
      <c r="B873" s="12"/>
      <c r="C873" s="12"/>
      <c r="D873" s="108"/>
      <c r="F873" s="66"/>
    </row>
    <row r="874">
      <c r="A874" s="84"/>
      <c r="B874" s="12"/>
      <c r="C874" s="12"/>
      <c r="D874" s="108"/>
      <c r="F874" s="66"/>
    </row>
    <row r="875">
      <c r="A875" s="84"/>
      <c r="B875" s="12"/>
      <c r="C875" s="12"/>
      <c r="D875" s="108"/>
      <c r="F875" s="66"/>
    </row>
    <row r="876">
      <c r="A876" s="84"/>
      <c r="B876" s="12"/>
      <c r="C876" s="12"/>
      <c r="D876" s="108"/>
      <c r="F876" s="66"/>
    </row>
    <row r="877">
      <c r="A877" s="84"/>
      <c r="B877" s="12"/>
      <c r="C877" s="12"/>
      <c r="D877" s="108"/>
      <c r="F877" s="66"/>
    </row>
    <row r="878">
      <c r="A878" s="84"/>
      <c r="B878" s="12"/>
      <c r="C878" s="12"/>
      <c r="D878" s="108"/>
      <c r="F878" s="66"/>
    </row>
    <row r="879">
      <c r="A879" s="84"/>
      <c r="B879" s="12"/>
      <c r="C879" s="12"/>
      <c r="D879" s="108"/>
      <c r="F879" s="66"/>
    </row>
    <row r="880">
      <c r="A880" s="84"/>
      <c r="B880" s="12"/>
      <c r="C880" s="12"/>
      <c r="D880" s="108"/>
      <c r="F880" s="66"/>
    </row>
    <row r="881">
      <c r="A881" s="84"/>
      <c r="B881" s="12"/>
      <c r="C881" s="12"/>
      <c r="D881" s="108"/>
      <c r="F881" s="66"/>
    </row>
    <row r="882">
      <c r="A882" s="84"/>
      <c r="B882" s="12"/>
      <c r="C882" s="12"/>
      <c r="D882" s="108"/>
      <c r="F882" s="66"/>
    </row>
    <row r="883">
      <c r="A883" s="84"/>
      <c r="B883" s="12"/>
      <c r="C883" s="12"/>
      <c r="D883" s="108"/>
      <c r="F883" s="66"/>
    </row>
    <row r="884">
      <c r="A884" s="84"/>
      <c r="B884" s="12"/>
      <c r="C884" s="12"/>
      <c r="D884" s="108"/>
      <c r="F884" s="66"/>
    </row>
    <row r="885">
      <c r="A885" s="84"/>
      <c r="B885" s="12"/>
      <c r="C885" s="12"/>
      <c r="D885" s="108"/>
      <c r="F885" s="66"/>
    </row>
    <row r="886">
      <c r="A886" s="84"/>
      <c r="B886" s="12"/>
      <c r="C886" s="12"/>
      <c r="D886" s="108"/>
      <c r="F886" s="66"/>
    </row>
    <row r="887">
      <c r="A887" s="84"/>
      <c r="B887" s="12"/>
      <c r="C887" s="12"/>
      <c r="D887" s="108"/>
      <c r="F887" s="66"/>
    </row>
    <row r="888">
      <c r="A888" s="84"/>
      <c r="B888" s="12"/>
      <c r="C888" s="12"/>
      <c r="D888" s="108"/>
      <c r="F888" s="66"/>
    </row>
    <row r="889">
      <c r="A889" s="84"/>
      <c r="B889" s="12"/>
      <c r="C889" s="12"/>
      <c r="D889" s="108"/>
      <c r="F889" s="66"/>
    </row>
    <row r="890">
      <c r="A890" s="84"/>
      <c r="B890" s="12"/>
      <c r="C890" s="12"/>
      <c r="D890" s="108"/>
      <c r="F890" s="66"/>
    </row>
    <row r="891">
      <c r="A891" s="84"/>
      <c r="B891" s="12"/>
      <c r="C891" s="12"/>
      <c r="D891" s="108"/>
      <c r="F891" s="66"/>
    </row>
    <row r="892">
      <c r="A892" s="84"/>
      <c r="B892" s="12"/>
      <c r="C892" s="12"/>
      <c r="D892" s="108"/>
      <c r="F892" s="66"/>
    </row>
    <row r="893">
      <c r="A893" s="84"/>
      <c r="B893" s="12"/>
      <c r="C893" s="12"/>
      <c r="D893" s="108"/>
      <c r="F893" s="66"/>
    </row>
    <row r="894">
      <c r="A894" s="84"/>
      <c r="B894" s="12"/>
      <c r="C894" s="12"/>
      <c r="D894" s="108"/>
      <c r="F894" s="66"/>
    </row>
    <row r="895">
      <c r="A895" s="84"/>
      <c r="B895" s="12"/>
      <c r="C895" s="12"/>
      <c r="D895" s="108"/>
      <c r="F895" s="66"/>
    </row>
    <row r="896">
      <c r="A896" s="84"/>
      <c r="B896" s="12"/>
      <c r="C896" s="12"/>
      <c r="D896" s="108"/>
      <c r="F896" s="66"/>
    </row>
    <row r="897">
      <c r="A897" s="84"/>
      <c r="B897" s="12"/>
      <c r="C897" s="12"/>
      <c r="D897" s="108"/>
      <c r="F897" s="66"/>
    </row>
    <row r="898">
      <c r="A898" s="84"/>
      <c r="B898" s="12"/>
      <c r="C898" s="12"/>
      <c r="D898" s="108"/>
      <c r="F898" s="66"/>
    </row>
    <row r="899">
      <c r="A899" s="84"/>
      <c r="B899" s="12"/>
      <c r="C899" s="12"/>
      <c r="D899" s="108"/>
      <c r="F899" s="66"/>
    </row>
    <row r="900">
      <c r="A900" s="84"/>
      <c r="B900" s="12"/>
      <c r="C900" s="12"/>
      <c r="D900" s="108"/>
      <c r="F900" s="66"/>
    </row>
    <row r="901">
      <c r="A901" s="84"/>
      <c r="B901" s="12"/>
      <c r="C901" s="12"/>
      <c r="D901" s="108"/>
      <c r="F901" s="66"/>
    </row>
    <row r="902">
      <c r="A902" s="84"/>
      <c r="B902" s="12"/>
      <c r="C902" s="12"/>
      <c r="D902" s="108"/>
      <c r="F902" s="66"/>
    </row>
    <row r="903">
      <c r="A903" s="84"/>
      <c r="B903" s="12"/>
      <c r="C903" s="12"/>
      <c r="D903" s="108"/>
      <c r="F903" s="66"/>
    </row>
    <row r="904">
      <c r="A904" s="84"/>
      <c r="B904" s="12"/>
      <c r="C904" s="12"/>
      <c r="D904" s="108"/>
      <c r="F904" s="66"/>
    </row>
    <row r="905">
      <c r="A905" s="84"/>
      <c r="B905" s="12"/>
      <c r="C905" s="12"/>
      <c r="D905" s="108"/>
      <c r="F905" s="66"/>
    </row>
    <row r="906">
      <c r="A906" s="84"/>
      <c r="B906" s="12"/>
      <c r="C906" s="12"/>
      <c r="D906" s="108"/>
      <c r="F906" s="66"/>
    </row>
    <row r="907">
      <c r="A907" s="84"/>
      <c r="B907" s="12"/>
      <c r="C907" s="12"/>
      <c r="D907" s="108"/>
      <c r="F907" s="66"/>
    </row>
    <row r="908">
      <c r="A908" s="84"/>
      <c r="B908" s="12"/>
      <c r="C908" s="12"/>
      <c r="D908" s="108"/>
      <c r="F908" s="66"/>
    </row>
    <row r="909">
      <c r="A909" s="84"/>
      <c r="B909" s="12"/>
      <c r="C909" s="12"/>
      <c r="D909" s="108"/>
      <c r="F909" s="66"/>
    </row>
    <row r="910">
      <c r="A910" s="84"/>
      <c r="B910" s="12"/>
      <c r="C910" s="12"/>
      <c r="D910" s="108"/>
      <c r="F910" s="66"/>
    </row>
    <row r="911">
      <c r="A911" s="84"/>
      <c r="B911" s="12"/>
      <c r="C911" s="12"/>
      <c r="D911" s="108"/>
      <c r="F911" s="66"/>
    </row>
    <row r="912">
      <c r="A912" s="84"/>
      <c r="B912" s="12"/>
      <c r="C912" s="12"/>
      <c r="D912" s="108"/>
      <c r="F912" s="66"/>
    </row>
    <row r="913">
      <c r="A913" s="84"/>
      <c r="B913" s="12"/>
      <c r="C913" s="12"/>
      <c r="D913" s="108"/>
      <c r="F913" s="66"/>
    </row>
    <row r="914">
      <c r="A914" s="84"/>
      <c r="B914" s="12"/>
      <c r="C914" s="12"/>
      <c r="D914" s="108"/>
      <c r="F914" s="66"/>
    </row>
    <row r="915">
      <c r="A915" s="84"/>
      <c r="B915" s="12"/>
      <c r="C915" s="12"/>
      <c r="D915" s="108"/>
      <c r="F915" s="66"/>
    </row>
    <row r="916">
      <c r="A916" s="84"/>
      <c r="B916" s="12"/>
      <c r="C916" s="12"/>
      <c r="D916" s="108"/>
      <c r="F916" s="66"/>
    </row>
    <row r="917">
      <c r="A917" s="84"/>
      <c r="B917" s="12"/>
      <c r="C917" s="12"/>
      <c r="D917" s="108"/>
      <c r="F917" s="66"/>
    </row>
    <row r="918">
      <c r="A918" s="84"/>
      <c r="B918" s="12"/>
      <c r="C918" s="12"/>
      <c r="D918" s="108"/>
      <c r="F918" s="66"/>
    </row>
    <row r="919">
      <c r="A919" s="84"/>
      <c r="B919" s="12"/>
      <c r="C919" s="12"/>
      <c r="D919" s="108"/>
      <c r="F919" s="66"/>
    </row>
    <row r="920">
      <c r="A920" s="84"/>
      <c r="B920" s="12"/>
      <c r="C920" s="12"/>
      <c r="D920" s="108"/>
      <c r="F920" s="66"/>
    </row>
    <row r="921">
      <c r="A921" s="84"/>
      <c r="B921" s="12"/>
      <c r="C921" s="12"/>
      <c r="D921" s="108"/>
      <c r="F921" s="66"/>
    </row>
    <row r="922">
      <c r="A922" s="84"/>
      <c r="B922" s="12"/>
      <c r="C922" s="12"/>
      <c r="D922" s="108"/>
      <c r="F922" s="66"/>
    </row>
    <row r="923">
      <c r="A923" s="84"/>
      <c r="B923" s="12"/>
      <c r="C923" s="12"/>
      <c r="D923" s="108"/>
      <c r="F923" s="66"/>
    </row>
    <row r="924">
      <c r="A924" s="84"/>
      <c r="B924" s="12"/>
      <c r="C924" s="12"/>
      <c r="D924" s="108"/>
      <c r="F924" s="66"/>
    </row>
    <row r="925">
      <c r="A925" s="84"/>
      <c r="B925" s="12"/>
      <c r="C925" s="12"/>
      <c r="D925" s="108"/>
      <c r="F925" s="66"/>
    </row>
    <row r="926">
      <c r="A926" s="84"/>
      <c r="B926" s="12"/>
      <c r="C926" s="12"/>
      <c r="D926" s="108"/>
      <c r="F926" s="66"/>
    </row>
    <row r="927">
      <c r="A927" s="84"/>
      <c r="B927" s="12"/>
      <c r="C927" s="12"/>
      <c r="D927" s="108"/>
      <c r="F927" s="66"/>
    </row>
    <row r="928">
      <c r="A928" s="84"/>
      <c r="B928" s="12"/>
      <c r="C928" s="12"/>
      <c r="D928" s="108"/>
      <c r="F928" s="66"/>
    </row>
    <row r="929">
      <c r="A929" s="84"/>
      <c r="B929" s="12"/>
      <c r="C929" s="12"/>
      <c r="D929" s="108"/>
      <c r="F929" s="66"/>
    </row>
    <row r="930">
      <c r="A930" s="84"/>
      <c r="B930" s="12"/>
      <c r="C930" s="12"/>
      <c r="D930" s="108"/>
      <c r="F930" s="66"/>
    </row>
    <row r="931">
      <c r="A931" s="84"/>
      <c r="B931" s="12"/>
      <c r="C931" s="12"/>
      <c r="D931" s="108"/>
      <c r="F931" s="66"/>
    </row>
    <row r="932">
      <c r="A932" s="84"/>
      <c r="B932" s="12"/>
      <c r="C932" s="12"/>
      <c r="D932" s="108"/>
      <c r="F932" s="66"/>
    </row>
    <row r="933">
      <c r="A933" s="84"/>
      <c r="B933" s="12"/>
      <c r="C933" s="12"/>
      <c r="D933" s="108"/>
      <c r="F933" s="66"/>
    </row>
    <row r="934">
      <c r="A934" s="84"/>
      <c r="B934" s="12"/>
      <c r="C934" s="12"/>
      <c r="D934" s="108"/>
      <c r="F934" s="66"/>
    </row>
    <row r="935">
      <c r="A935" s="84"/>
      <c r="B935" s="12"/>
      <c r="C935" s="12"/>
      <c r="D935" s="108"/>
      <c r="F935" s="66"/>
    </row>
    <row r="936">
      <c r="A936" s="84"/>
      <c r="B936" s="12"/>
      <c r="C936" s="12"/>
      <c r="D936" s="108"/>
      <c r="F936" s="66"/>
    </row>
    <row r="937">
      <c r="A937" s="84"/>
      <c r="B937" s="12"/>
      <c r="C937" s="12"/>
      <c r="D937" s="108"/>
      <c r="F937" s="66"/>
    </row>
    <row r="938">
      <c r="A938" s="84"/>
      <c r="B938" s="12"/>
      <c r="C938" s="12"/>
      <c r="D938" s="108"/>
      <c r="F938" s="66"/>
    </row>
    <row r="939">
      <c r="A939" s="84"/>
      <c r="B939" s="12"/>
      <c r="C939" s="12"/>
      <c r="D939" s="108"/>
      <c r="F939" s="66"/>
    </row>
    <row r="940">
      <c r="A940" s="84"/>
      <c r="B940" s="12"/>
      <c r="C940" s="12"/>
      <c r="D940" s="108"/>
      <c r="F940" s="66"/>
    </row>
    <row r="941">
      <c r="A941" s="84"/>
      <c r="B941" s="12"/>
      <c r="C941" s="12"/>
      <c r="D941" s="108"/>
      <c r="F941" s="66"/>
    </row>
    <row r="942">
      <c r="A942" s="84"/>
      <c r="B942" s="12"/>
      <c r="C942" s="12"/>
      <c r="D942" s="108"/>
      <c r="F942" s="66"/>
    </row>
    <row r="943">
      <c r="A943" s="84"/>
      <c r="B943" s="12"/>
      <c r="C943" s="12"/>
      <c r="D943" s="108"/>
      <c r="F943" s="66"/>
    </row>
    <row r="944">
      <c r="A944" s="84"/>
      <c r="B944" s="12"/>
      <c r="C944" s="12"/>
      <c r="D944" s="108"/>
      <c r="F944" s="66"/>
    </row>
    <row r="945">
      <c r="A945" s="84"/>
      <c r="B945" s="12"/>
      <c r="C945" s="12"/>
      <c r="D945" s="108"/>
      <c r="F945" s="66"/>
    </row>
    <row r="946">
      <c r="A946" s="84"/>
      <c r="B946" s="12"/>
      <c r="C946" s="12"/>
      <c r="D946" s="108"/>
      <c r="F946" s="66"/>
    </row>
    <row r="947">
      <c r="A947" s="84"/>
      <c r="B947" s="12"/>
      <c r="C947" s="12"/>
      <c r="D947" s="108"/>
      <c r="F947" s="66"/>
    </row>
    <row r="948">
      <c r="A948" s="84"/>
      <c r="B948" s="12"/>
      <c r="C948" s="12"/>
      <c r="D948" s="108"/>
      <c r="F948" s="66"/>
    </row>
    <row r="949">
      <c r="A949" s="84"/>
      <c r="B949" s="12"/>
      <c r="C949" s="12"/>
      <c r="D949" s="108"/>
      <c r="F949" s="66"/>
    </row>
    <row r="950">
      <c r="A950" s="84"/>
      <c r="B950" s="12"/>
      <c r="C950" s="12"/>
      <c r="D950" s="108"/>
      <c r="F950" s="66"/>
    </row>
    <row r="951">
      <c r="A951" s="84"/>
      <c r="B951" s="12"/>
      <c r="C951" s="12"/>
      <c r="D951" s="108"/>
      <c r="F951" s="66"/>
    </row>
    <row r="952">
      <c r="A952" s="84"/>
      <c r="B952" s="12"/>
      <c r="C952" s="12"/>
      <c r="D952" s="108"/>
      <c r="F952" s="66"/>
    </row>
    <row r="953">
      <c r="A953" s="84"/>
      <c r="B953" s="12"/>
      <c r="C953" s="12"/>
      <c r="D953" s="108"/>
      <c r="F953" s="66"/>
    </row>
    <row r="954">
      <c r="A954" s="84"/>
      <c r="B954" s="12"/>
      <c r="C954" s="12"/>
      <c r="D954" s="108"/>
      <c r="F954" s="66"/>
    </row>
    <row r="955">
      <c r="A955" s="84"/>
      <c r="B955" s="12"/>
      <c r="C955" s="12"/>
      <c r="D955" s="108"/>
      <c r="F955" s="66"/>
    </row>
    <row r="956">
      <c r="A956" s="84"/>
      <c r="B956" s="12"/>
      <c r="C956" s="12"/>
      <c r="D956" s="108"/>
      <c r="F956" s="66"/>
    </row>
    <row r="957">
      <c r="A957" s="84"/>
      <c r="B957" s="12"/>
      <c r="C957" s="12"/>
      <c r="D957" s="108"/>
      <c r="F957" s="66"/>
    </row>
    <row r="958">
      <c r="A958" s="84"/>
      <c r="B958" s="12"/>
      <c r="C958" s="12"/>
      <c r="D958" s="108"/>
      <c r="F958" s="66"/>
    </row>
    <row r="959">
      <c r="A959" s="84"/>
      <c r="B959" s="12"/>
      <c r="C959" s="12"/>
      <c r="D959" s="108"/>
      <c r="F959" s="66"/>
    </row>
    <row r="960">
      <c r="A960" s="84"/>
      <c r="B960" s="12"/>
      <c r="C960" s="12"/>
      <c r="D960" s="108"/>
      <c r="F960" s="66"/>
    </row>
    <row r="961">
      <c r="A961" s="84"/>
      <c r="B961" s="12"/>
      <c r="C961" s="12"/>
      <c r="D961" s="108"/>
      <c r="F961" s="66"/>
    </row>
    <row r="962">
      <c r="A962" s="84"/>
      <c r="B962" s="12"/>
      <c r="C962" s="12"/>
      <c r="D962" s="108"/>
      <c r="F962" s="66"/>
    </row>
    <row r="963">
      <c r="A963" s="84"/>
      <c r="B963" s="12"/>
      <c r="C963" s="12"/>
      <c r="D963" s="108"/>
      <c r="F963" s="66"/>
    </row>
    <row r="964">
      <c r="A964" s="84"/>
      <c r="B964" s="12"/>
      <c r="C964" s="12"/>
      <c r="D964" s="108"/>
      <c r="F964" s="66"/>
    </row>
    <row r="965">
      <c r="A965" s="84"/>
      <c r="B965" s="12"/>
      <c r="C965" s="12"/>
      <c r="D965" s="108"/>
      <c r="F965" s="66"/>
    </row>
    <row r="966">
      <c r="A966" s="84"/>
      <c r="B966" s="12"/>
      <c r="C966" s="12"/>
      <c r="D966" s="108"/>
      <c r="F966" s="66"/>
    </row>
    <row r="967">
      <c r="A967" s="84"/>
      <c r="B967" s="12"/>
      <c r="C967" s="12"/>
      <c r="D967" s="108"/>
      <c r="F967" s="66"/>
    </row>
    <row r="968">
      <c r="A968" s="84"/>
      <c r="B968" s="12"/>
      <c r="C968" s="12"/>
      <c r="D968" s="108"/>
      <c r="F968" s="66"/>
    </row>
    <row r="969">
      <c r="A969" s="84"/>
      <c r="B969" s="12"/>
      <c r="C969" s="12"/>
      <c r="D969" s="108"/>
      <c r="F969" s="66"/>
    </row>
    <row r="970">
      <c r="A970" s="84"/>
      <c r="B970" s="12"/>
      <c r="C970" s="12"/>
      <c r="D970" s="108"/>
      <c r="F970" s="66"/>
    </row>
    <row r="971">
      <c r="A971" s="84"/>
      <c r="B971" s="12"/>
      <c r="C971" s="12"/>
      <c r="D971" s="108"/>
      <c r="F971" s="66"/>
    </row>
    <row r="972">
      <c r="A972" s="84"/>
      <c r="B972" s="12"/>
      <c r="C972" s="12"/>
      <c r="D972" s="108"/>
      <c r="F972" s="66"/>
    </row>
    <row r="973">
      <c r="A973" s="84"/>
      <c r="B973" s="12"/>
      <c r="C973" s="12"/>
      <c r="D973" s="108"/>
      <c r="F973" s="66"/>
    </row>
    <row r="974">
      <c r="A974" s="84"/>
      <c r="B974" s="12"/>
      <c r="C974" s="12"/>
      <c r="D974" s="108"/>
      <c r="F974" s="66"/>
    </row>
    <row r="975">
      <c r="A975" s="84"/>
      <c r="B975" s="12"/>
      <c r="C975" s="12"/>
      <c r="D975" s="108"/>
      <c r="F975" s="66"/>
    </row>
    <row r="976">
      <c r="A976" s="84"/>
      <c r="B976" s="12"/>
      <c r="C976" s="12"/>
      <c r="D976" s="108"/>
      <c r="F976" s="66"/>
    </row>
    <row r="977">
      <c r="A977" s="84"/>
      <c r="B977" s="12"/>
      <c r="C977" s="12"/>
      <c r="D977" s="108"/>
      <c r="F977" s="66"/>
    </row>
    <row r="978">
      <c r="A978" s="84"/>
      <c r="B978" s="12"/>
      <c r="C978" s="12"/>
      <c r="D978" s="108"/>
      <c r="F978" s="66"/>
    </row>
    <row r="979">
      <c r="A979" s="84"/>
      <c r="B979" s="12"/>
      <c r="C979" s="12"/>
      <c r="D979" s="108"/>
      <c r="F979" s="66"/>
    </row>
    <row r="980">
      <c r="A980" s="84"/>
      <c r="B980" s="12"/>
      <c r="C980" s="12"/>
      <c r="D980" s="108"/>
      <c r="F980" s="66"/>
    </row>
    <row r="981">
      <c r="A981" s="84"/>
      <c r="B981" s="12"/>
      <c r="C981" s="12"/>
      <c r="D981" s="108"/>
      <c r="F981" s="66"/>
    </row>
    <row r="982">
      <c r="A982" s="84"/>
      <c r="B982" s="12"/>
      <c r="C982" s="12"/>
      <c r="D982" s="108"/>
      <c r="F982" s="66"/>
    </row>
    <row r="983">
      <c r="A983" s="84"/>
      <c r="B983" s="12"/>
      <c r="C983" s="12"/>
      <c r="D983" s="108"/>
      <c r="F983" s="66"/>
    </row>
    <row r="984">
      <c r="A984" s="84"/>
      <c r="B984" s="12"/>
      <c r="C984" s="12"/>
      <c r="D984" s="108"/>
      <c r="F984" s="66"/>
    </row>
    <row r="985">
      <c r="A985" s="84"/>
      <c r="B985" s="12"/>
      <c r="C985" s="12"/>
      <c r="D985" s="108"/>
      <c r="F985" s="66"/>
    </row>
    <row r="986">
      <c r="A986" s="84"/>
      <c r="B986" s="12"/>
      <c r="C986" s="12"/>
      <c r="D986" s="108"/>
      <c r="F986" s="66"/>
    </row>
    <row r="987">
      <c r="A987" s="84"/>
      <c r="B987" s="12"/>
      <c r="C987" s="12"/>
      <c r="D987" s="108"/>
      <c r="F987" s="66"/>
    </row>
    <row r="988">
      <c r="A988" s="84"/>
      <c r="B988" s="12"/>
      <c r="C988" s="12"/>
      <c r="D988" s="108"/>
      <c r="F988" s="66"/>
    </row>
    <row r="989">
      <c r="A989" s="84"/>
      <c r="B989" s="12"/>
      <c r="C989" s="12"/>
      <c r="D989" s="108"/>
      <c r="F989" s="66"/>
    </row>
    <row r="990">
      <c r="A990" s="84"/>
      <c r="B990" s="12"/>
      <c r="C990" s="12"/>
      <c r="D990" s="108"/>
      <c r="F990" s="66"/>
    </row>
    <row r="991">
      <c r="A991" s="84"/>
      <c r="B991" s="12"/>
      <c r="C991" s="12"/>
      <c r="D991" s="108"/>
      <c r="F991" s="66"/>
    </row>
    <row r="992">
      <c r="A992" s="84"/>
      <c r="B992" s="12"/>
      <c r="C992" s="12"/>
      <c r="D992" s="108"/>
      <c r="F992" s="66"/>
    </row>
    <row r="993">
      <c r="A993" s="84"/>
      <c r="B993" s="12"/>
      <c r="C993" s="12"/>
      <c r="D993" s="108"/>
      <c r="F993" s="66"/>
    </row>
    <row r="994">
      <c r="A994" s="84"/>
      <c r="B994" s="12"/>
      <c r="C994" s="12"/>
      <c r="D994" s="108"/>
      <c r="F994" s="66"/>
    </row>
    <row r="995">
      <c r="A995" s="84"/>
      <c r="B995" s="12"/>
      <c r="C995" s="12"/>
      <c r="D995" s="108"/>
      <c r="F995" s="66"/>
    </row>
    <row r="996">
      <c r="A996" s="84"/>
      <c r="B996" s="12"/>
      <c r="C996" s="12"/>
      <c r="D996" s="108"/>
      <c r="F996" s="66"/>
    </row>
    <row r="997">
      <c r="A997" s="84"/>
      <c r="B997" s="12"/>
      <c r="C997" s="12"/>
      <c r="D997" s="108"/>
      <c r="F997" s="66"/>
    </row>
    <row r="998">
      <c r="A998" s="84"/>
      <c r="B998" s="12"/>
      <c r="C998" s="12"/>
      <c r="D998" s="108"/>
      <c r="F998" s="66"/>
    </row>
    <row r="999">
      <c r="A999" s="84"/>
      <c r="B999" s="12"/>
      <c r="C999" s="12"/>
      <c r="D999" s="108"/>
      <c r="F999" s="66"/>
    </row>
    <row r="1000">
      <c r="A1000" s="84"/>
      <c r="B1000" s="12"/>
      <c r="C1000" s="12"/>
      <c r="D1000" s="108"/>
      <c r="F1000" s="66"/>
    </row>
    <row r="1001">
      <c r="A1001" s="84"/>
      <c r="B1001" s="12"/>
      <c r="C1001" s="12"/>
      <c r="D1001" s="108"/>
      <c r="F1001" s="66"/>
    </row>
    <row r="1002">
      <c r="A1002" s="84"/>
      <c r="B1002" s="12"/>
      <c r="C1002" s="12"/>
      <c r="D1002" s="108"/>
      <c r="F1002" s="66"/>
    </row>
    <row r="1003">
      <c r="A1003" s="84"/>
      <c r="B1003" s="12"/>
      <c r="C1003" s="12"/>
      <c r="D1003" s="108"/>
      <c r="F1003" s="115"/>
    </row>
    <row r="1004">
      <c r="A1004" s="84"/>
      <c r="B1004" s="12"/>
      <c r="C1004" s="12"/>
    </row>
    <row r="1005">
      <c r="A1005" s="84"/>
      <c r="B1005" s="12"/>
      <c r="C1005" s="12"/>
    </row>
    <row r="1006">
      <c r="A1006" s="84"/>
      <c r="B1006" s="12"/>
      <c r="C1006" s="12"/>
    </row>
    <row r="1007">
      <c r="A1007" s="84"/>
      <c r="B1007" s="12"/>
      <c r="C1007" s="12"/>
    </row>
    <row r="1008">
      <c r="A1008" s="84"/>
      <c r="B1008" s="12"/>
      <c r="C1008" s="12"/>
    </row>
    <row r="1009">
      <c r="A1009" s="84"/>
      <c r="B1009" s="12"/>
      <c r="C1009" s="12"/>
    </row>
    <row r="1010">
      <c r="A1010" s="84"/>
      <c r="B1010" s="12"/>
      <c r="C1010" s="12"/>
    </row>
    <row r="1011">
      <c r="A1011" s="84"/>
      <c r="B1011" s="12"/>
      <c r="C1011" s="12"/>
    </row>
  </sheetData>
  <conditionalFormatting sqref="F2:F1010">
    <cfRule type="cellIs" dxfId="6" priority="1" operator="greaterThan">
      <formula>DOLLAR(0)</formula>
    </cfRule>
  </conditionalFormatting>
  <conditionalFormatting sqref="F2:F1010">
    <cfRule type="cellIs" dxfId="7" priority="2" operator="lessThan">
      <formula>DOLLAR(0)</formula>
    </cfRule>
  </conditionalFormatting>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cols>
    <col customWidth="1" min="1" max="1" width="24.5"/>
    <col customWidth="1" min="2" max="2" width="17.5"/>
    <col customWidth="1" min="3" max="3" width="17.88"/>
    <col customWidth="1" min="4" max="4" width="19.5"/>
    <col customWidth="1" min="5" max="5" width="15.38"/>
    <col customWidth="1" min="6" max="6" width="22.75"/>
    <col customWidth="1" min="7" max="7" width="19.63"/>
    <col customWidth="1" min="8" max="8" width="17.75"/>
  </cols>
  <sheetData>
    <row r="1">
      <c r="A1" s="2" t="s">
        <v>162</v>
      </c>
      <c r="B1" s="116" t="s">
        <v>163</v>
      </c>
      <c r="C1" s="117" t="s">
        <v>164</v>
      </c>
      <c r="D1" s="118" t="s">
        <v>165</v>
      </c>
      <c r="E1" s="2" t="s">
        <v>166</v>
      </c>
      <c r="F1" s="2" t="s">
        <v>167</v>
      </c>
      <c r="I1" s="31"/>
      <c r="J1" s="31"/>
      <c r="K1" s="31"/>
      <c r="L1" s="31"/>
      <c r="M1" s="31"/>
      <c r="N1" s="31"/>
      <c r="O1" s="31"/>
      <c r="P1" s="31"/>
      <c r="Q1" s="31"/>
      <c r="R1" s="31"/>
      <c r="S1" s="31"/>
      <c r="T1" s="31"/>
      <c r="U1" s="31"/>
      <c r="V1" s="31"/>
      <c r="W1" s="31"/>
      <c r="X1" s="31"/>
      <c r="Y1" s="31"/>
      <c r="Z1" s="31"/>
      <c r="AA1" s="31"/>
    </row>
    <row r="2">
      <c r="A2" s="6" t="s">
        <v>168</v>
      </c>
      <c r="B2" s="119"/>
      <c r="C2" s="119">
        <v>888.37</v>
      </c>
      <c r="D2" s="120">
        <v>50.0</v>
      </c>
      <c r="E2" s="121" t="s">
        <v>169</v>
      </c>
      <c r="F2" s="6" t="s">
        <v>170</v>
      </c>
      <c r="G2" s="122"/>
    </row>
    <row r="3">
      <c r="A3" s="123" t="s">
        <v>171</v>
      </c>
      <c r="B3" s="119">
        <v>295.0</v>
      </c>
      <c r="C3" s="124">
        <v>295.0</v>
      </c>
      <c r="D3" s="125"/>
      <c r="E3" s="25"/>
      <c r="F3" s="126" t="s">
        <v>172</v>
      </c>
    </row>
    <row r="4">
      <c r="A4" s="6" t="s">
        <v>173</v>
      </c>
      <c r="B4" s="119">
        <v>987.89</v>
      </c>
      <c r="C4" s="124">
        <v>576.29</v>
      </c>
      <c r="D4" s="125">
        <v>82.32</v>
      </c>
      <c r="E4" s="25" t="s">
        <v>174</v>
      </c>
      <c r="F4" s="126" t="s">
        <v>175</v>
      </c>
    </row>
    <row r="5">
      <c r="A5" s="6" t="s">
        <v>176</v>
      </c>
      <c r="B5" s="119">
        <v>289.0</v>
      </c>
      <c r="C5" s="124">
        <v>289.0</v>
      </c>
      <c r="D5" s="125"/>
      <c r="E5" s="25"/>
      <c r="F5" s="126"/>
    </row>
    <row r="6">
      <c r="A6" s="6" t="s">
        <v>177</v>
      </c>
      <c r="B6" s="119">
        <v>919.3</v>
      </c>
      <c r="C6" s="124">
        <v>804.38</v>
      </c>
      <c r="D6" s="125">
        <v>114.92</v>
      </c>
      <c r="E6" s="25" t="s">
        <v>178</v>
      </c>
      <c r="F6" s="126" t="s">
        <v>179</v>
      </c>
    </row>
    <row r="7">
      <c r="A7" s="6" t="s">
        <v>180</v>
      </c>
      <c r="B7" s="119">
        <v>307.17</v>
      </c>
      <c r="C7" s="124">
        <v>204.78</v>
      </c>
      <c r="D7" s="125">
        <v>102.39</v>
      </c>
      <c r="E7" s="25"/>
      <c r="F7" s="126" t="s">
        <v>181</v>
      </c>
    </row>
    <row r="8">
      <c r="B8" s="127" t="s">
        <v>182</v>
      </c>
      <c r="C8" s="128" t="s">
        <v>183</v>
      </c>
      <c r="D8" s="129" t="s">
        <v>184</v>
      </c>
      <c r="F8" s="130"/>
    </row>
    <row r="9">
      <c r="B9" s="131">
        <f>SUM(B1:B7)</f>
        <v>2798.36</v>
      </c>
      <c r="C9" s="132">
        <f>SUM(C1:C2)</f>
        <v>888.37</v>
      </c>
      <c r="D9" s="133">
        <f>SUM(D1:D7)</f>
        <v>349.63</v>
      </c>
      <c r="E9" s="12"/>
    </row>
    <row r="10">
      <c r="B10" s="134"/>
      <c r="C10" s="134"/>
      <c r="D10" s="134"/>
      <c r="E10" s="12"/>
      <c r="F10" s="12"/>
    </row>
    <row r="11">
      <c r="B11" s="135"/>
      <c r="C11" s="136"/>
      <c r="D11" s="137"/>
      <c r="E11" s="12"/>
      <c r="F11" s="6"/>
    </row>
    <row r="12">
      <c r="A12" s="12"/>
      <c r="B12" s="135"/>
      <c r="C12" s="136"/>
      <c r="D12" s="137"/>
      <c r="E12" s="12"/>
      <c r="F12" s="12"/>
    </row>
    <row r="13">
      <c r="A13" s="12"/>
      <c r="B13" s="135"/>
      <c r="C13" s="136"/>
      <c r="D13" s="137"/>
      <c r="E13" s="12"/>
      <c r="F13" s="12"/>
    </row>
    <row r="14">
      <c r="A14" s="12"/>
      <c r="B14" s="135"/>
      <c r="C14" s="136"/>
      <c r="D14" s="137"/>
      <c r="E14" s="12"/>
      <c r="F14" s="12"/>
    </row>
    <row r="15">
      <c r="A15" s="12"/>
      <c r="B15" s="135"/>
      <c r="C15" s="136"/>
      <c r="D15" s="137"/>
      <c r="E15" s="12"/>
      <c r="F15" s="12"/>
    </row>
    <row r="16">
      <c r="A16" s="12"/>
      <c r="B16" s="135"/>
      <c r="C16" s="136"/>
      <c r="D16" s="137"/>
      <c r="E16" s="12"/>
      <c r="F16" s="12"/>
    </row>
    <row r="17">
      <c r="A17" s="12"/>
      <c r="B17" s="135"/>
      <c r="C17" s="136"/>
      <c r="D17" s="137"/>
      <c r="E17" s="12"/>
      <c r="F17" s="12"/>
    </row>
    <row r="18">
      <c r="A18" s="12"/>
      <c r="B18" s="135"/>
      <c r="C18" s="136"/>
      <c r="D18" s="137"/>
      <c r="E18" s="12"/>
      <c r="F18" s="12"/>
    </row>
    <row r="19">
      <c r="A19" s="12"/>
      <c r="B19" s="135"/>
      <c r="C19" s="136"/>
      <c r="D19" s="137"/>
      <c r="E19" s="12"/>
      <c r="F19" s="12"/>
    </row>
    <row r="20">
      <c r="A20" s="12"/>
      <c r="B20" s="135"/>
      <c r="C20" s="136"/>
      <c r="D20" s="137"/>
      <c r="E20" s="12"/>
      <c r="F20" s="12"/>
    </row>
    <row r="21">
      <c r="A21" s="12"/>
      <c r="B21" s="135"/>
      <c r="C21" s="136"/>
      <c r="D21" s="137"/>
      <c r="E21" s="12"/>
      <c r="F21" s="12"/>
    </row>
    <row r="22">
      <c r="A22" s="12"/>
      <c r="B22" s="135"/>
      <c r="C22" s="136"/>
      <c r="D22" s="137"/>
      <c r="E22" s="12"/>
      <c r="F22" s="12"/>
    </row>
    <row r="23">
      <c r="A23" s="12"/>
      <c r="B23" s="135"/>
      <c r="C23" s="136"/>
      <c r="D23" s="137"/>
      <c r="E23" s="12"/>
      <c r="F23" s="12"/>
    </row>
    <row r="24">
      <c r="A24" s="12"/>
      <c r="B24" s="135"/>
      <c r="C24" s="136"/>
      <c r="D24" s="137"/>
      <c r="E24" s="12"/>
      <c r="F24" s="12"/>
    </row>
    <row r="25">
      <c r="A25" s="12"/>
      <c r="B25" s="135"/>
      <c r="C25" s="136"/>
      <c r="D25" s="137"/>
      <c r="E25" s="12"/>
      <c r="F25" s="12"/>
    </row>
    <row r="26">
      <c r="A26" s="12"/>
      <c r="B26" s="135"/>
      <c r="C26" s="136"/>
      <c r="D26" s="137"/>
      <c r="E26" s="12"/>
      <c r="F26" s="12"/>
    </row>
    <row r="27">
      <c r="A27" s="12"/>
      <c r="B27" s="135"/>
      <c r="C27" s="136"/>
      <c r="D27" s="137"/>
      <c r="E27" s="12"/>
      <c r="F27" s="12"/>
    </row>
    <row r="28">
      <c r="A28" s="12"/>
      <c r="B28" s="135"/>
      <c r="C28" s="136"/>
      <c r="D28" s="137"/>
      <c r="E28" s="12"/>
      <c r="F28" s="12"/>
    </row>
    <row r="29">
      <c r="A29" s="12"/>
      <c r="B29" s="135"/>
      <c r="C29" s="136"/>
      <c r="D29" s="137"/>
      <c r="E29" s="12"/>
      <c r="F29" s="12"/>
    </row>
    <row r="30">
      <c r="A30" s="12"/>
      <c r="B30" s="135"/>
      <c r="C30" s="136"/>
      <c r="D30" s="137"/>
      <c r="E30" s="12"/>
      <c r="F30" s="12"/>
    </row>
    <row r="31">
      <c r="A31" s="12"/>
      <c r="B31" s="135"/>
      <c r="C31" s="136"/>
      <c r="D31" s="137"/>
      <c r="E31" s="12"/>
      <c r="F31" s="12"/>
    </row>
    <row r="32">
      <c r="A32" s="12"/>
      <c r="B32" s="135"/>
      <c r="C32" s="136"/>
      <c r="D32" s="137"/>
      <c r="E32" s="12"/>
      <c r="F32" s="12"/>
    </row>
    <row r="33">
      <c r="A33" s="12"/>
      <c r="B33" s="135"/>
      <c r="C33" s="136"/>
      <c r="D33" s="137"/>
      <c r="E33" s="12"/>
      <c r="F33" s="12"/>
    </row>
    <row r="34">
      <c r="A34" s="12"/>
      <c r="B34" s="135"/>
      <c r="C34" s="136"/>
      <c r="D34" s="137"/>
      <c r="E34" s="12"/>
      <c r="F34" s="12"/>
    </row>
    <row r="35">
      <c r="A35" s="12"/>
      <c r="B35" s="135"/>
      <c r="C35" s="136"/>
      <c r="D35" s="137"/>
      <c r="E35" s="12"/>
      <c r="F35" s="12"/>
    </row>
    <row r="36">
      <c r="A36" s="12"/>
      <c r="B36" s="135"/>
      <c r="C36" s="136"/>
      <c r="D36" s="137"/>
      <c r="E36" s="12"/>
      <c r="F36" s="12"/>
    </row>
    <row r="37">
      <c r="A37" s="12"/>
      <c r="B37" s="135"/>
      <c r="C37" s="136"/>
      <c r="D37" s="137"/>
      <c r="E37" s="12"/>
      <c r="F37" s="12"/>
    </row>
    <row r="38">
      <c r="A38" s="12"/>
      <c r="B38" s="135"/>
      <c r="C38" s="136"/>
      <c r="D38" s="137"/>
      <c r="E38" s="12"/>
      <c r="F38" s="12"/>
    </row>
    <row r="39">
      <c r="A39" s="12"/>
      <c r="B39" s="135"/>
      <c r="C39" s="136"/>
      <c r="D39" s="137"/>
      <c r="E39" s="12"/>
      <c r="F39" s="12"/>
    </row>
    <row r="40">
      <c r="A40" s="12"/>
      <c r="B40" s="135"/>
      <c r="C40" s="136"/>
      <c r="D40" s="137"/>
      <c r="E40" s="12"/>
      <c r="F40" s="12"/>
    </row>
    <row r="41">
      <c r="A41" s="12"/>
      <c r="B41" s="135"/>
      <c r="C41" s="136"/>
      <c r="D41" s="137"/>
      <c r="E41" s="12"/>
      <c r="F41" s="12"/>
    </row>
    <row r="42">
      <c r="A42" s="12"/>
      <c r="B42" s="135"/>
      <c r="C42" s="136"/>
      <c r="D42" s="137"/>
      <c r="E42" s="12"/>
      <c r="F42" s="12"/>
    </row>
    <row r="43">
      <c r="A43" s="12"/>
      <c r="B43" s="135"/>
      <c r="C43" s="136"/>
      <c r="D43" s="137"/>
      <c r="E43" s="12"/>
      <c r="F43" s="12"/>
    </row>
    <row r="44">
      <c r="A44" s="12"/>
      <c r="B44" s="135"/>
      <c r="C44" s="136"/>
      <c r="D44" s="137"/>
      <c r="E44" s="12"/>
      <c r="F44" s="12"/>
    </row>
    <row r="45">
      <c r="A45" s="12"/>
      <c r="B45" s="135"/>
      <c r="C45" s="136"/>
      <c r="D45" s="137"/>
      <c r="E45" s="12"/>
      <c r="F45" s="12"/>
    </row>
    <row r="46">
      <c r="A46" s="12"/>
      <c r="B46" s="135"/>
      <c r="C46" s="136"/>
      <c r="D46" s="137"/>
      <c r="E46" s="12"/>
      <c r="F46" s="12"/>
    </row>
    <row r="47">
      <c r="A47" s="12"/>
      <c r="B47" s="135"/>
      <c r="C47" s="136"/>
      <c r="D47" s="137"/>
      <c r="E47" s="12"/>
      <c r="F47" s="12"/>
    </row>
    <row r="48">
      <c r="A48" s="12"/>
      <c r="B48" s="135"/>
      <c r="C48" s="136"/>
      <c r="D48" s="137"/>
      <c r="E48" s="12"/>
      <c r="F48" s="12"/>
    </row>
    <row r="49">
      <c r="A49" s="12"/>
      <c r="B49" s="135"/>
      <c r="C49" s="136"/>
      <c r="D49" s="137"/>
      <c r="E49" s="12"/>
      <c r="F49" s="12"/>
    </row>
    <row r="50">
      <c r="A50" s="12"/>
      <c r="B50" s="135"/>
      <c r="C50" s="136"/>
      <c r="D50" s="137"/>
      <c r="E50" s="12"/>
      <c r="F50" s="12"/>
    </row>
    <row r="51">
      <c r="A51" s="12"/>
      <c r="B51" s="135"/>
      <c r="C51" s="136"/>
      <c r="D51" s="137"/>
      <c r="E51" s="12"/>
      <c r="F51" s="12"/>
    </row>
    <row r="52">
      <c r="A52" s="12"/>
      <c r="B52" s="135"/>
      <c r="C52" s="136"/>
      <c r="D52" s="137"/>
      <c r="E52" s="12"/>
      <c r="F52" s="12"/>
    </row>
    <row r="53">
      <c r="A53" s="12"/>
      <c r="B53" s="135"/>
      <c r="C53" s="136"/>
      <c r="D53" s="137"/>
      <c r="E53" s="12"/>
      <c r="F53" s="12"/>
    </row>
    <row r="54">
      <c r="A54" s="12"/>
      <c r="B54" s="135"/>
      <c r="C54" s="136"/>
      <c r="D54" s="137"/>
      <c r="E54" s="12"/>
      <c r="F54" s="12"/>
    </row>
    <row r="55">
      <c r="A55" s="12"/>
      <c r="B55" s="135"/>
      <c r="C55" s="136"/>
      <c r="D55" s="137"/>
      <c r="E55" s="12"/>
      <c r="F55" s="12"/>
    </row>
    <row r="56">
      <c r="A56" s="12"/>
      <c r="B56" s="135"/>
      <c r="C56" s="136"/>
      <c r="D56" s="137"/>
      <c r="E56" s="12"/>
      <c r="F56" s="12"/>
    </row>
    <row r="57">
      <c r="A57" s="12"/>
      <c r="B57" s="135"/>
      <c r="C57" s="136"/>
      <c r="D57" s="137"/>
      <c r="E57" s="12"/>
      <c r="F57" s="12"/>
    </row>
    <row r="58">
      <c r="A58" s="12"/>
      <c r="B58" s="135"/>
      <c r="C58" s="136"/>
      <c r="D58" s="137"/>
      <c r="E58" s="12"/>
      <c r="F58" s="12"/>
    </row>
    <row r="59">
      <c r="A59" s="12"/>
      <c r="B59" s="135"/>
      <c r="C59" s="136"/>
      <c r="D59" s="137"/>
      <c r="E59" s="12"/>
      <c r="F59" s="12"/>
    </row>
    <row r="60">
      <c r="A60" s="12"/>
      <c r="B60" s="135"/>
      <c r="C60" s="136"/>
      <c r="D60" s="137"/>
      <c r="E60" s="12"/>
      <c r="F60" s="12"/>
    </row>
    <row r="61">
      <c r="A61" s="12"/>
      <c r="B61" s="135"/>
      <c r="C61" s="136"/>
      <c r="D61" s="137"/>
      <c r="E61" s="12"/>
      <c r="F61" s="12"/>
    </row>
    <row r="62">
      <c r="A62" s="12"/>
      <c r="B62" s="135"/>
      <c r="C62" s="136"/>
      <c r="D62" s="137"/>
      <c r="E62" s="12"/>
      <c r="F62" s="12"/>
    </row>
    <row r="63">
      <c r="A63" s="12"/>
      <c r="B63" s="135"/>
      <c r="C63" s="136"/>
      <c r="D63" s="137"/>
      <c r="E63" s="12"/>
      <c r="F63" s="12"/>
    </row>
    <row r="64">
      <c r="A64" s="12"/>
      <c r="B64" s="135"/>
      <c r="C64" s="136"/>
      <c r="D64" s="137"/>
      <c r="E64" s="12"/>
      <c r="F64" s="12"/>
    </row>
    <row r="65">
      <c r="A65" s="12"/>
      <c r="B65" s="135"/>
      <c r="C65" s="136"/>
      <c r="D65" s="137"/>
      <c r="E65" s="12"/>
      <c r="F65" s="12"/>
    </row>
    <row r="66">
      <c r="A66" s="12"/>
      <c r="B66" s="135"/>
      <c r="C66" s="136"/>
      <c r="D66" s="137"/>
      <c r="E66" s="12"/>
      <c r="F66" s="12"/>
    </row>
    <row r="67">
      <c r="A67" s="12"/>
      <c r="B67" s="135"/>
      <c r="C67" s="136"/>
      <c r="D67" s="137"/>
      <c r="E67" s="12"/>
      <c r="F67" s="12"/>
    </row>
    <row r="68">
      <c r="A68" s="12"/>
      <c r="B68" s="135"/>
      <c r="C68" s="136"/>
      <c r="D68" s="137"/>
      <c r="E68" s="12"/>
      <c r="F68" s="12"/>
    </row>
    <row r="69">
      <c r="A69" s="12"/>
      <c r="B69" s="135"/>
      <c r="C69" s="136"/>
      <c r="D69" s="137"/>
      <c r="E69" s="12"/>
      <c r="F69" s="12"/>
    </row>
    <row r="70">
      <c r="A70" s="12"/>
      <c r="B70" s="135"/>
      <c r="C70" s="136"/>
      <c r="D70" s="137"/>
      <c r="E70" s="12"/>
      <c r="F70" s="12"/>
    </row>
    <row r="71">
      <c r="A71" s="12"/>
      <c r="B71" s="135"/>
      <c r="C71" s="136"/>
      <c r="D71" s="137"/>
      <c r="E71" s="12"/>
      <c r="F71" s="12"/>
    </row>
    <row r="72">
      <c r="A72" s="12"/>
      <c r="B72" s="135"/>
      <c r="C72" s="136"/>
      <c r="D72" s="137"/>
      <c r="E72" s="12"/>
      <c r="F72" s="12"/>
    </row>
    <row r="73">
      <c r="A73" s="12"/>
      <c r="B73" s="135"/>
      <c r="C73" s="136"/>
      <c r="D73" s="137"/>
      <c r="E73" s="12"/>
      <c r="F73" s="12"/>
    </row>
    <row r="74">
      <c r="A74" s="12"/>
      <c r="B74" s="135"/>
      <c r="C74" s="136"/>
      <c r="D74" s="137"/>
      <c r="E74" s="12"/>
      <c r="F74" s="12"/>
    </row>
    <row r="75">
      <c r="A75" s="12"/>
      <c r="B75" s="135"/>
      <c r="C75" s="136"/>
      <c r="D75" s="137"/>
      <c r="E75" s="12"/>
      <c r="F75" s="12"/>
    </row>
    <row r="76">
      <c r="A76" s="12"/>
      <c r="B76" s="135"/>
      <c r="C76" s="136"/>
      <c r="D76" s="137"/>
      <c r="E76" s="12"/>
      <c r="F76" s="12"/>
    </row>
    <row r="77">
      <c r="A77" s="12"/>
      <c r="B77" s="135"/>
      <c r="C77" s="136"/>
      <c r="D77" s="137"/>
      <c r="E77" s="12"/>
      <c r="F77" s="12"/>
    </row>
    <row r="78">
      <c r="A78" s="12"/>
      <c r="B78" s="135"/>
      <c r="C78" s="136"/>
      <c r="D78" s="137"/>
      <c r="E78" s="12"/>
      <c r="F78" s="12"/>
    </row>
    <row r="79">
      <c r="A79" s="12"/>
      <c r="B79" s="135"/>
      <c r="C79" s="136"/>
      <c r="D79" s="137"/>
      <c r="E79" s="12"/>
      <c r="F79" s="12"/>
    </row>
    <row r="80">
      <c r="A80" s="12"/>
      <c r="B80" s="135"/>
      <c r="C80" s="136"/>
      <c r="D80" s="137"/>
      <c r="E80" s="12"/>
      <c r="F80" s="12"/>
    </row>
    <row r="81">
      <c r="A81" s="12"/>
      <c r="B81" s="135"/>
      <c r="C81" s="136"/>
      <c r="D81" s="137"/>
      <c r="E81" s="12"/>
      <c r="F81" s="12"/>
    </row>
    <row r="82">
      <c r="A82" s="12"/>
      <c r="B82" s="135"/>
      <c r="C82" s="136"/>
      <c r="D82" s="137"/>
      <c r="E82" s="12"/>
      <c r="F82" s="12"/>
    </row>
    <row r="83">
      <c r="A83" s="12"/>
      <c r="B83" s="135"/>
      <c r="C83" s="136"/>
      <c r="D83" s="137"/>
      <c r="E83" s="12"/>
      <c r="F83" s="12"/>
    </row>
    <row r="84">
      <c r="A84" s="12"/>
      <c r="B84" s="135"/>
      <c r="C84" s="136"/>
      <c r="D84" s="137"/>
      <c r="E84" s="12"/>
      <c r="F84" s="12"/>
    </row>
    <row r="85">
      <c r="A85" s="12"/>
      <c r="B85" s="135"/>
      <c r="C85" s="136"/>
      <c r="D85" s="137"/>
      <c r="E85" s="12"/>
      <c r="F85" s="12"/>
    </row>
    <row r="86">
      <c r="A86" s="12"/>
      <c r="B86" s="135"/>
      <c r="C86" s="136"/>
      <c r="D86" s="137"/>
      <c r="E86" s="12"/>
      <c r="F86" s="12"/>
    </row>
    <row r="87">
      <c r="A87" s="12"/>
      <c r="B87" s="135"/>
      <c r="C87" s="136"/>
      <c r="D87" s="137"/>
      <c r="E87" s="12"/>
      <c r="F87" s="12"/>
    </row>
    <row r="88">
      <c r="A88" s="12"/>
      <c r="B88" s="135"/>
      <c r="C88" s="136"/>
      <c r="D88" s="137"/>
      <c r="E88" s="12"/>
      <c r="F88" s="12"/>
    </row>
    <row r="89">
      <c r="A89" s="12"/>
      <c r="B89" s="135"/>
      <c r="C89" s="136"/>
      <c r="D89" s="137"/>
      <c r="E89" s="12"/>
      <c r="F89" s="12"/>
    </row>
    <row r="90">
      <c r="A90" s="12"/>
      <c r="B90" s="135"/>
      <c r="C90" s="136"/>
      <c r="D90" s="137"/>
      <c r="E90" s="12"/>
      <c r="F90" s="12"/>
    </row>
    <row r="91">
      <c r="A91" s="12"/>
      <c r="B91" s="135"/>
      <c r="C91" s="136"/>
      <c r="D91" s="137"/>
      <c r="E91" s="12"/>
      <c r="F91" s="12"/>
    </row>
    <row r="92">
      <c r="A92" s="12"/>
      <c r="B92" s="135"/>
      <c r="C92" s="136"/>
      <c r="D92" s="137"/>
      <c r="E92" s="12"/>
      <c r="F92" s="12"/>
    </row>
    <row r="93">
      <c r="A93" s="12"/>
      <c r="B93" s="135"/>
      <c r="C93" s="136"/>
      <c r="D93" s="137"/>
      <c r="E93" s="12"/>
      <c r="F93" s="12"/>
    </row>
    <row r="94">
      <c r="A94" s="12"/>
      <c r="B94" s="135"/>
      <c r="C94" s="136"/>
      <c r="D94" s="137"/>
      <c r="E94" s="12"/>
      <c r="F94" s="12"/>
    </row>
    <row r="95">
      <c r="A95" s="12"/>
      <c r="B95" s="135"/>
      <c r="C95" s="136"/>
      <c r="D95" s="137"/>
      <c r="E95" s="12"/>
      <c r="F95" s="12"/>
    </row>
    <row r="96">
      <c r="A96" s="12"/>
      <c r="B96" s="135"/>
      <c r="C96" s="136"/>
      <c r="D96" s="137"/>
      <c r="E96" s="12"/>
      <c r="F96" s="12"/>
    </row>
    <row r="97">
      <c r="A97" s="12"/>
      <c r="B97" s="135"/>
      <c r="C97" s="136"/>
      <c r="D97" s="137"/>
      <c r="E97" s="12"/>
      <c r="F97" s="12"/>
    </row>
    <row r="98">
      <c r="A98" s="12"/>
      <c r="B98" s="135"/>
      <c r="C98" s="136"/>
      <c r="D98" s="137"/>
      <c r="E98" s="12"/>
      <c r="F98" s="12"/>
    </row>
    <row r="99">
      <c r="A99" s="12"/>
      <c r="B99" s="135"/>
      <c r="C99" s="136"/>
      <c r="D99" s="137"/>
      <c r="E99" s="12"/>
      <c r="F99" s="12"/>
    </row>
    <row r="100">
      <c r="A100" s="12"/>
      <c r="B100" s="135"/>
      <c r="C100" s="136"/>
      <c r="D100" s="137"/>
      <c r="E100" s="12"/>
      <c r="F100" s="12"/>
    </row>
    <row r="101">
      <c r="A101" s="12"/>
      <c r="B101" s="135"/>
      <c r="C101" s="136"/>
      <c r="D101" s="137"/>
      <c r="E101" s="12"/>
      <c r="F101" s="12"/>
    </row>
    <row r="102">
      <c r="A102" s="12"/>
      <c r="B102" s="135"/>
      <c r="C102" s="136"/>
      <c r="D102" s="137"/>
      <c r="E102" s="12"/>
      <c r="F102" s="12"/>
    </row>
    <row r="103">
      <c r="A103" s="12"/>
      <c r="B103" s="135"/>
      <c r="C103" s="136"/>
      <c r="D103" s="137"/>
      <c r="E103" s="12"/>
      <c r="F103" s="12"/>
    </row>
    <row r="104">
      <c r="A104" s="12"/>
      <c r="B104" s="135"/>
      <c r="C104" s="136"/>
      <c r="D104" s="137"/>
      <c r="E104" s="12"/>
      <c r="F104" s="12"/>
    </row>
    <row r="105">
      <c r="A105" s="12"/>
      <c r="B105" s="135"/>
      <c r="C105" s="136"/>
      <c r="D105" s="137"/>
      <c r="E105" s="12"/>
      <c r="F105" s="12"/>
    </row>
    <row r="106">
      <c r="A106" s="12"/>
      <c r="B106" s="135"/>
      <c r="C106" s="136"/>
      <c r="D106" s="137"/>
      <c r="E106" s="12"/>
      <c r="F106" s="12"/>
    </row>
    <row r="107">
      <c r="A107" s="12"/>
      <c r="B107" s="135"/>
      <c r="C107" s="136"/>
      <c r="D107" s="137"/>
      <c r="E107" s="12"/>
      <c r="F107" s="12"/>
    </row>
    <row r="108">
      <c r="A108" s="12"/>
      <c r="B108" s="135"/>
      <c r="C108" s="136"/>
      <c r="D108" s="137"/>
      <c r="E108" s="12"/>
      <c r="F108" s="12"/>
    </row>
    <row r="109">
      <c r="A109" s="12"/>
      <c r="B109" s="135"/>
      <c r="C109" s="136"/>
      <c r="D109" s="137"/>
      <c r="E109" s="12"/>
      <c r="F109" s="12"/>
    </row>
    <row r="110">
      <c r="A110" s="12"/>
      <c r="B110" s="135"/>
      <c r="C110" s="136"/>
      <c r="D110" s="137"/>
      <c r="E110" s="12"/>
      <c r="F110" s="12"/>
    </row>
    <row r="111">
      <c r="A111" s="12"/>
      <c r="B111" s="135"/>
      <c r="C111" s="136"/>
      <c r="D111" s="137"/>
      <c r="E111" s="12"/>
      <c r="F111" s="12"/>
    </row>
    <row r="112">
      <c r="A112" s="12"/>
      <c r="B112" s="135"/>
      <c r="C112" s="136"/>
      <c r="D112" s="137"/>
      <c r="E112" s="12"/>
      <c r="F112" s="12"/>
    </row>
    <row r="113">
      <c r="A113" s="12"/>
      <c r="B113" s="135"/>
      <c r="C113" s="136"/>
      <c r="D113" s="137"/>
      <c r="E113" s="12"/>
      <c r="F113" s="12"/>
    </row>
    <row r="114">
      <c r="A114" s="12"/>
      <c r="B114" s="135"/>
      <c r="C114" s="136"/>
      <c r="D114" s="137"/>
      <c r="E114" s="12"/>
      <c r="F114" s="12"/>
    </row>
    <row r="115">
      <c r="A115" s="12"/>
      <c r="B115" s="135"/>
      <c r="C115" s="136"/>
      <c r="D115" s="137"/>
      <c r="E115" s="12"/>
      <c r="F115" s="12"/>
    </row>
    <row r="116">
      <c r="A116" s="12"/>
      <c r="B116" s="135"/>
      <c r="C116" s="136"/>
      <c r="D116" s="137"/>
      <c r="E116" s="12"/>
      <c r="F116" s="12"/>
    </row>
    <row r="117">
      <c r="A117" s="12"/>
      <c r="B117" s="135"/>
      <c r="C117" s="136"/>
      <c r="D117" s="137"/>
      <c r="E117" s="12"/>
      <c r="F117" s="12"/>
    </row>
    <row r="118">
      <c r="A118" s="12"/>
      <c r="B118" s="135"/>
      <c r="C118" s="136"/>
      <c r="D118" s="137"/>
      <c r="E118" s="12"/>
      <c r="F118" s="12"/>
    </row>
    <row r="119">
      <c r="A119" s="12"/>
      <c r="B119" s="135"/>
      <c r="C119" s="136"/>
      <c r="D119" s="137"/>
      <c r="E119" s="12"/>
      <c r="F119" s="12"/>
    </row>
    <row r="120">
      <c r="A120" s="12"/>
      <c r="B120" s="135"/>
      <c r="C120" s="136"/>
      <c r="D120" s="137"/>
      <c r="E120" s="12"/>
      <c r="F120" s="12"/>
    </row>
    <row r="121">
      <c r="A121" s="12"/>
      <c r="B121" s="135"/>
      <c r="C121" s="136"/>
      <c r="D121" s="137"/>
      <c r="E121" s="12"/>
      <c r="F121" s="12"/>
    </row>
    <row r="122">
      <c r="A122" s="12"/>
      <c r="B122" s="135"/>
      <c r="C122" s="136"/>
      <c r="D122" s="137"/>
      <c r="E122" s="12"/>
      <c r="F122" s="12"/>
    </row>
    <row r="123">
      <c r="A123" s="12"/>
      <c r="B123" s="135"/>
      <c r="C123" s="136"/>
      <c r="D123" s="137"/>
      <c r="E123" s="12"/>
      <c r="F123" s="12"/>
    </row>
    <row r="124">
      <c r="A124" s="12"/>
      <c r="B124" s="135"/>
      <c r="C124" s="136"/>
      <c r="D124" s="137"/>
      <c r="E124" s="12"/>
      <c r="F124" s="12"/>
    </row>
    <row r="125">
      <c r="A125" s="12"/>
      <c r="B125" s="135"/>
      <c r="C125" s="136"/>
      <c r="D125" s="137"/>
      <c r="E125" s="12"/>
      <c r="F125" s="12"/>
    </row>
    <row r="126">
      <c r="A126" s="12"/>
      <c r="B126" s="135"/>
      <c r="C126" s="136"/>
      <c r="D126" s="137"/>
      <c r="E126" s="12"/>
      <c r="F126" s="12"/>
    </row>
    <row r="127">
      <c r="A127" s="12"/>
      <c r="B127" s="135"/>
      <c r="C127" s="136"/>
      <c r="D127" s="137"/>
      <c r="E127" s="12"/>
      <c r="F127" s="12"/>
    </row>
    <row r="128">
      <c r="A128" s="12"/>
      <c r="B128" s="135"/>
      <c r="C128" s="136"/>
      <c r="D128" s="137"/>
      <c r="E128" s="12"/>
      <c r="F128" s="12"/>
    </row>
    <row r="129">
      <c r="A129" s="12"/>
      <c r="B129" s="135"/>
      <c r="C129" s="136"/>
      <c r="D129" s="137"/>
      <c r="E129" s="12"/>
      <c r="F129" s="12"/>
    </row>
    <row r="130">
      <c r="A130" s="12"/>
      <c r="B130" s="135"/>
      <c r="C130" s="136"/>
      <c r="D130" s="137"/>
      <c r="E130" s="12"/>
      <c r="F130" s="12"/>
    </row>
    <row r="131">
      <c r="A131" s="12"/>
      <c r="B131" s="135"/>
      <c r="C131" s="136"/>
      <c r="D131" s="137"/>
      <c r="E131" s="12"/>
      <c r="F131" s="12"/>
    </row>
    <row r="132">
      <c r="A132" s="12"/>
      <c r="B132" s="135"/>
      <c r="C132" s="136"/>
      <c r="D132" s="137"/>
      <c r="E132" s="12"/>
      <c r="F132" s="12"/>
    </row>
    <row r="133">
      <c r="A133" s="12"/>
      <c r="B133" s="135"/>
      <c r="C133" s="136"/>
      <c r="D133" s="137"/>
      <c r="E133" s="12"/>
      <c r="F133" s="12"/>
    </row>
    <row r="134">
      <c r="A134" s="12"/>
      <c r="B134" s="135"/>
      <c r="C134" s="136"/>
      <c r="D134" s="137"/>
      <c r="E134" s="12"/>
      <c r="F134" s="12"/>
    </row>
    <row r="135">
      <c r="A135" s="12"/>
      <c r="B135" s="135"/>
      <c r="C135" s="136"/>
      <c r="D135" s="137"/>
      <c r="E135" s="12"/>
      <c r="F135" s="12"/>
    </row>
    <row r="136">
      <c r="A136" s="12"/>
      <c r="B136" s="135"/>
      <c r="C136" s="136"/>
      <c r="D136" s="137"/>
      <c r="E136" s="12"/>
      <c r="F136" s="12"/>
    </row>
    <row r="137">
      <c r="A137" s="12"/>
      <c r="B137" s="135"/>
      <c r="C137" s="136"/>
      <c r="D137" s="137"/>
      <c r="E137" s="12"/>
      <c r="F137" s="12"/>
    </row>
    <row r="138">
      <c r="A138" s="12"/>
      <c r="B138" s="135"/>
      <c r="C138" s="136"/>
      <c r="D138" s="137"/>
      <c r="E138" s="12"/>
      <c r="F138" s="12"/>
    </row>
    <row r="139">
      <c r="A139" s="12"/>
      <c r="B139" s="135"/>
      <c r="C139" s="136"/>
      <c r="D139" s="137"/>
      <c r="E139" s="12"/>
      <c r="F139" s="12"/>
    </row>
    <row r="140">
      <c r="A140" s="12"/>
      <c r="B140" s="135"/>
      <c r="C140" s="136"/>
      <c r="D140" s="137"/>
      <c r="E140" s="12"/>
      <c r="F140" s="12"/>
    </row>
    <row r="141">
      <c r="A141" s="12"/>
      <c r="B141" s="135"/>
      <c r="C141" s="136"/>
      <c r="D141" s="137"/>
      <c r="E141" s="12"/>
      <c r="F141" s="12"/>
    </row>
    <row r="142">
      <c r="A142" s="12"/>
      <c r="B142" s="135"/>
      <c r="C142" s="136"/>
      <c r="D142" s="137"/>
      <c r="E142" s="12"/>
      <c r="F142" s="12"/>
    </row>
    <row r="143">
      <c r="A143" s="12"/>
      <c r="B143" s="135"/>
      <c r="C143" s="136"/>
      <c r="D143" s="137"/>
      <c r="E143" s="12"/>
      <c r="F143" s="12"/>
    </row>
    <row r="144">
      <c r="A144" s="12"/>
      <c r="B144" s="135"/>
      <c r="C144" s="136"/>
      <c r="D144" s="137"/>
      <c r="E144" s="12"/>
      <c r="F144" s="12"/>
    </row>
    <row r="145">
      <c r="A145" s="12"/>
      <c r="B145" s="135"/>
      <c r="C145" s="136"/>
      <c r="D145" s="137"/>
      <c r="E145" s="12"/>
      <c r="F145" s="12"/>
    </row>
    <row r="146">
      <c r="A146" s="12"/>
      <c r="B146" s="135"/>
      <c r="C146" s="136"/>
      <c r="D146" s="137"/>
      <c r="E146" s="12"/>
      <c r="F146" s="12"/>
    </row>
    <row r="147">
      <c r="A147" s="12"/>
      <c r="B147" s="135"/>
      <c r="C147" s="136"/>
      <c r="D147" s="137"/>
      <c r="E147" s="12"/>
      <c r="F147" s="12"/>
    </row>
    <row r="148">
      <c r="A148" s="12"/>
      <c r="B148" s="135"/>
      <c r="C148" s="136"/>
      <c r="D148" s="137"/>
      <c r="E148" s="12"/>
      <c r="F148" s="12"/>
    </row>
    <row r="149">
      <c r="A149" s="12"/>
      <c r="B149" s="135"/>
      <c r="C149" s="136"/>
      <c r="D149" s="137"/>
      <c r="E149" s="12"/>
      <c r="F149" s="12"/>
    </row>
    <row r="150">
      <c r="A150" s="12"/>
      <c r="B150" s="135"/>
      <c r="C150" s="136"/>
      <c r="D150" s="137"/>
      <c r="E150" s="12"/>
      <c r="F150" s="12"/>
    </row>
    <row r="151">
      <c r="A151" s="12"/>
      <c r="B151" s="135"/>
      <c r="C151" s="136"/>
      <c r="D151" s="137"/>
      <c r="E151" s="12"/>
      <c r="F151" s="12"/>
    </row>
    <row r="152">
      <c r="A152" s="12"/>
      <c r="B152" s="135"/>
      <c r="C152" s="136"/>
      <c r="D152" s="137"/>
      <c r="E152" s="12"/>
      <c r="F152" s="12"/>
    </row>
    <row r="153">
      <c r="A153" s="12"/>
      <c r="B153" s="135"/>
      <c r="C153" s="136"/>
      <c r="D153" s="137"/>
      <c r="E153" s="12"/>
      <c r="F153" s="12"/>
    </row>
    <row r="154">
      <c r="A154" s="12"/>
      <c r="B154" s="135"/>
      <c r="C154" s="136"/>
      <c r="D154" s="137"/>
      <c r="E154" s="12"/>
      <c r="F154" s="12"/>
    </row>
    <row r="155">
      <c r="A155" s="12"/>
      <c r="B155" s="135"/>
      <c r="C155" s="136"/>
      <c r="D155" s="137"/>
      <c r="E155" s="12"/>
      <c r="F155" s="12"/>
    </row>
    <row r="156">
      <c r="A156" s="12"/>
      <c r="B156" s="135"/>
      <c r="C156" s="136"/>
      <c r="D156" s="137"/>
      <c r="E156" s="12"/>
      <c r="F156" s="12"/>
    </row>
    <row r="157">
      <c r="A157" s="12"/>
      <c r="B157" s="135"/>
      <c r="C157" s="136"/>
      <c r="D157" s="137"/>
      <c r="E157" s="12"/>
      <c r="F157" s="12"/>
    </row>
    <row r="158">
      <c r="A158" s="12"/>
      <c r="B158" s="135"/>
      <c r="C158" s="136"/>
      <c r="D158" s="137"/>
      <c r="E158" s="12"/>
      <c r="F158" s="12"/>
    </row>
    <row r="159">
      <c r="A159" s="12"/>
      <c r="B159" s="135"/>
      <c r="C159" s="136"/>
      <c r="D159" s="137"/>
      <c r="E159" s="12"/>
      <c r="F159" s="12"/>
    </row>
    <row r="160">
      <c r="A160" s="12"/>
      <c r="B160" s="135"/>
      <c r="C160" s="136"/>
      <c r="D160" s="137"/>
      <c r="E160" s="12"/>
      <c r="F160" s="12"/>
    </row>
    <row r="161">
      <c r="A161" s="12"/>
      <c r="B161" s="135"/>
      <c r="C161" s="136"/>
      <c r="D161" s="137"/>
      <c r="E161" s="12"/>
      <c r="F161" s="12"/>
    </row>
    <row r="162">
      <c r="A162" s="12"/>
      <c r="B162" s="135"/>
      <c r="C162" s="136"/>
      <c r="D162" s="137"/>
      <c r="E162" s="12"/>
      <c r="F162" s="12"/>
    </row>
    <row r="163">
      <c r="A163" s="12"/>
      <c r="B163" s="135"/>
      <c r="C163" s="136"/>
      <c r="D163" s="137"/>
      <c r="E163" s="12"/>
      <c r="F163" s="12"/>
    </row>
    <row r="164">
      <c r="A164" s="12"/>
      <c r="B164" s="135"/>
      <c r="C164" s="136"/>
      <c r="D164" s="137"/>
      <c r="E164" s="12"/>
      <c r="F164" s="12"/>
    </row>
    <row r="165">
      <c r="A165" s="12"/>
      <c r="B165" s="135"/>
      <c r="C165" s="136"/>
      <c r="D165" s="137"/>
      <c r="E165" s="12"/>
      <c r="F165" s="12"/>
    </row>
    <row r="166">
      <c r="A166" s="12"/>
      <c r="B166" s="135"/>
      <c r="C166" s="136"/>
      <c r="D166" s="137"/>
      <c r="E166" s="12"/>
      <c r="F166" s="12"/>
    </row>
    <row r="167">
      <c r="A167" s="12"/>
      <c r="B167" s="135"/>
      <c r="C167" s="136"/>
      <c r="D167" s="137"/>
      <c r="E167" s="12"/>
      <c r="F167" s="12"/>
    </row>
    <row r="168">
      <c r="A168" s="12"/>
      <c r="B168" s="135"/>
      <c r="C168" s="136"/>
      <c r="D168" s="137"/>
      <c r="E168" s="12"/>
      <c r="F168" s="12"/>
    </row>
    <row r="169">
      <c r="A169" s="12"/>
      <c r="B169" s="135"/>
      <c r="C169" s="136"/>
      <c r="D169" s="137"/>
      <c r="E169" s="12"/>
      <c r="F169" s="12"/>
    </row>
    <row r="170">
      <c r="A170" s="12"/>
      <c r="B170" s="135"/>
      <c r="C170" s="136"/>
      <c r="D170" s="137"/>
      <c r="E170" s="12"/>
      <c r="F170" s="12"/>
    </row>
    <row r="171">
      <c r="A171" s="12"/>
      <c r="B171" s="135"/>
      <c r="C171" s="136"/>
      <c r="D171" s="137"/>
      <c r="E171" s="12"/>
      <c r="F171" s="12"/>
    </row>
    <row r="172">
      <c r="A172" s="12"/>
      <c r="B172" s="135"/>
      <c r="C172" s="136"/>
      <c r="D172" s="137"/>
      <c r="E172" s="12"/>
      <c r="F172" s="12"/>
    </row>
    <row r="173">
      <c r="A173" s="12"/>
      <c r="B173" s="135"/>
      <c r="C173" s="136"/>
      <c r="D173" s="137"/>
      <c r="E173" s="12"/>
      <c r="F173" s="12"/>
    </row>
    <row r="174">
      <c r="A174" s="12"/>
      <c r="B174" s="135"/>
      <c r="C174" s="136"/>
      <c r="D174" s="137"/>
      <c r="E174" s="12"/>
      <c r="F174" s="12"/>
    </row>
    <row r="175">
      <c r="A175" s="12"/>
      <c r="B175" s="135"/>
      <c r="C175" s="136"/>
      <c r="D175" s="137"/>
      <c r="E175" s="12"/>
      <c r="F175" s="12"/>
    </row>
    <row r="176">
      <c r="A176" s="12"/>
      <c r="B176" s="135"/>
      <c r="C176" s="136"/>
      <c r="D176" s="137"/>
      <c r="E176" s="12"/>
      <c r="F176" s="12"/>
    </row>
    <row r="177">
      <c r="A177" s="12"/>
      <c r="B177" s="135"/>
      <c r="C177" s="136"/>
      <c r="D177" s="137"/>
      <c r="E177" s="12"/>
      <c r="F177" s="12"/>
    </row>
    <row r="178">
      <c r="A178" s="12"/>
      <c r="B178" s="135"/>
      <c r="C178" s="136"/>
      <c r="D178" s="137"/>
      <c r="E178" s="12"/>
      <c r="F178" s="12"/>
    </row>
    <row r="179">
      <c r="A179" s="12"/>
      <c r="B179" s="135"/>
      <c r="C179" s="136"/>
      <c r="D179" s="137"/>
      <c r="E179" s="12"/>
      <c r="F179" s="12"/>
    </row>
    <row r="180">
      <c r="A180" s="12"/>
      <c r="B180" s="135"/>
      <c r="C180" s="136"/>
      <c r="D180" s="137"/>
      <c r="E180" s="12"/>
      <c r="F180" s="12"/>
    </row>
    <row r="181">
      <c r="A181" s="12"/>
      <c r="B181" s="135"/>
      <c r="C181" s="136"/>
      <c r="D181" s="137"/>
      <c r="E181" s="12"/>
      <c r="F181" s="12"/>
    </row>
    <row r="182">
      <c r="A182" s="12"/>
      <c r="B182" s="135"/>
      <c r="C182" s="136"/>
      <c r="D182" s="137"/>
      <c r="E182" s="12"/>
      <c r="F182" s="12"/>
    </row>
    <row r="183">
      <c r="A183" s="12"/>
      <c r="B183" s="135"/>
      <c r="C183" s="136"/>
      <c r="D183" s="137"/>
      <c r="E183" s="12"/>
      <c r="F183" s="12"/>
    </row>
    <row r="184">
      <c r="A184" s="12"/>
      <c r="B184" s="135"/>
      <c r="C184" s="136"/>
      <c r="D184" s="137"/>
      <c r="E184" s="12"/>
      <c r="F184" s="12"/>
    </row>
    <row r="185">
      <c r="A185" s="12"/>
      <c r="B185" s="135"/>
      <c r="C185" s="136"/>
      <c r="D185" s="137"/>
      <c r="E185" s="12"/>
      <c r="F185" s="12"/>
    </row>
    <row r="186">
      <c r="A186" s="12"/>
      <c r="B186" s="135"/>
      <c r="C186" s="136"/>
      <c r="D186" s="137"/>
      <c r="E186" s="12"/>
      <c r="F186" s="12"/>
    </row>
    <row r="187">
      <c r="A187" s="12"/>
      <c r="B187" s="135"/>
      <c r="C187" s="136"/>
      <c r="D187" s="137"/>
      <c r="E187" s="12"/>
      <c r="F187" s="12"/>
    </row>
    <row r="188">
      <c r="A188" s="12"/>
      <c r="B188" s="135"/>
      <c r="C188" s="136"/>
      <c r="D188" s="137"/>
      <c r="E188" s="12"/>
      <c r="F188" s="12"/>
    </row>
    <row r="189">
      <c r="A189" s="12"/>
      <c r="B189" s="135"/>
      <c r="C189" s="136"/>
      <c r="D189" s="137"/>
      <c r="E189" s="12"/>
      <c r="F189" s="12"/>
    </row>
    <row r="190">
      <c r="A190" s="12"/>
      <c r="B190" s="135"/>
      <c r="C190" s="136"/>
      <c r="D190" s="137"/>
      <c r="E190" s="12"/>
      <c r="F190" s="12"/>
    </row>
    <row r="191">
      <c r="A191" s="12"/>
      <c r="B191" s="135"/>
      <c r="C191" s="136"/>
      <c r="D191" s="137"/>
      <c r="E191" s="12"/>
      <c r="F191" s="12"/>
    </row>
    <row r="192">
      <c r="A192" s="12"/>
      <c r="B192" s="135"/>
      <c r="C192" s="136"/>
      <c r="D192" s="137"/>
      <c r="E192" s="12"/>
      <c r="F192" s="12"/>
    </row>
    <row r="193">
      <c r="A193" s="12"/>
      <c r="B193" s="135"/>
      <c r="C193" s="136"/>
      <c r="D193" s="137"/>
      <c r="E193" s="12"/>
      <c r="F193" s="12"/>
    </row>
    <row r="194">
      <c r="A194" s="12"/>
      <c r="B194" s="135"/>
      <c r="C194" s="136"/>
      <c r="D194" s="137"/>
      <c r="E194" s="12"/>
      <c r="F194" s="12"/>
    </row>
    <row r="195">
      <c r="A195" s="12"/>
      <c r="B195" s="135"/>
      <c r="C195" s="136"/>
      <c r="D195" s="137"/>
      <c r="E195" s="12"/>
      <c r="F195" s="12"/>
    </row>
    <row r="196">
      <c r="A196" s="12"/>
      <c r="B196" s="135"/>
      <c r="C196" s="136"/>
      <c r="D196" s="137"/>
      <c r="E196" s="12"/>
      <c r="F196" s="12"/>
    </row>
    <row r="197">
      <c r="A197" s="12"/>
      <c r="B197" s="135"/>
      <c r="C197" s="136"/>
      <c r="D197" s="137"/>
      <c r="E197" s="12"/>
      <c r="F197" s="12"/>
    </row>
    <row r="198">
      <c r="A198" s="12"/>
      <c r="B198" s="135"/>
      <c r="C198" s="136"/>
      <c r="D198" s="137"/>
      <c r="E198" s="12"/>
      <c r="F198" s="12"/>
    </row>
    <row r="199">
      <c r="A199" s="12"/>
      <c r="B199" s="135"/>
      <c r="C199" s="136"/>
      <c r="D199" s="137"/>
      <c r="E199" s="12"/>
      <c r="F199" s="12"/>
    </row>
    <row r="200">
      <c r="A200" s="12"/>
      <c r="B200" s="135"/>
      <c r="C200" s="136"/>
      <c r="D200" s="137"/>
      <c r="E200" s="12"/>
      <c r="F200" s="12"/>
    </row>
    <row r="201">
      <c r="A201" s="12"/>
      <c r="B201" s="135"/>
      <c r="C201" s="136"/>
      <c r="D201" s="137"/>
      <c r="E201" s="12"/>
      <c r="F201" s="12"/>
    </row>
    <row r="202">
      <c r="A202" s="12"/>
      <c r="B202" s="135"/>
      <c r="C202" s="136"/>
      <c r="D202" s="137"/>
      <c r="E202" s="12"/>
      <c r="F202" s="12"/>
    </row>
    <row r="203">
      <c r="A203" s="12"/>
      <c r="B203" s="135"/>
      <c r="C203" s="136"/>
      <c r="D203" s="137"/>
      <c r="E203" s="12"/>
      <c r="F203" s="12"/>
    </row>
    <row r="204">
      <c r="A204" s="12"/>
      <c r="B204" s="135"/>
      <c r="C204" s="136"/>
      <c r="D204" s="137"/>
      <c r="E204" s="12"/>
      <c r="F204" s="12"/>
    </row>
    <row r="205">
      <c r="A205" s="12"/>
      <c r="B205" s="135"/>
      <c r="C205" s="136"/>
      <c r="D205" s="137"/>
      <c r="E205" s="12"/>
      <c r="F205" s="12"/>
    </row>
    <row r="206">
      <c r="A206" s="12"/>
      <c r="B206" s="135"/>
      <c r="C206" s="136"/>
      <c r="D206" s="137"/>
      <c r="E206" s="12"/>
      <c r="F206" s="12"/>
    </row>
    <row r="207">
      <c r="A207" s="12"/>
      <c r="B207" s="135"/>
      <c r="C207" s="136"/>
      <c r="D207" s="137"/>
      <c r="E207" s="12"/>
      <c r="F207" s="12"/>
    </row>
    <row r="208">
      <c r="A208" s="12"/>
      <c r="B208" s="135"/>
      <c r="C208" s="136"/>
      <c r="D208" s="137"/>
      <c r="E208" s="12"/>
      <c r="F208" s="12"/>
    </row>
    <row r="209">
      <c r="A209" s="12"/>
      <c r="B209" s="135"/>
      <c r="C209" s="136"/>
      <c r="D209" s="137"/>
      <c r="E209" s="12"/>
      <c r="F209" s="12"/>
    </row>
    <row r="210">
      <c r="A210" s="12"/>
      <c r="B210" s="135"/>
      <c r="C210" s="136"/>
      <c r="D210" s="137"/>
      <c r="E210" s="12"/>
      <c r="F210" s="12"/>
    </row>
    <row r="211">
      <c r="A211" s="12"/>
      <c r="B211" s="135"/>
      <c r="C211" s="136"/>
      <c r="D211" s="137"/>
      <c r="E211" s="12"/>
      <c r="F211" s="12"/>
    </row>
    <row r="212">
      <c r="A212" s="12"/>
      <c r="B212" s="135"/>
      <c r="C212" s="136"/>
      <c r="D212" s="137"/>
      <c r="E212" s="12"/>
      <c r="F212" s="12"/>
    </row>
    <row r="213">
      <c r="A213" s="12"/>
      <c r="B213" s="135"/>
      <c r="C213" s="136"/>
      <c r="D213" s="137"/>
      <c r="E213" s="12"/>
      <c r="F213" s="12"/>
    </row>
    <row r="214">
      <c r="A214" s="12"/>
      <c r="B214" s="135"/>
      <c r="C214" s="136"/>
      <c r="D214" s="137"/>
      <c r="E214" s="12"/>
      <c r="F214" s="12"/>
    </row>
    <row r="215">
      <c r="A215" s="12"/>
      <c r="B215" s="135"/>
      <c r="C215" s="136"/>
      <c r="D215" s="137"/>
      <c r="E215" s="12"/>
      <c r="F215" s="12"/>
    </row>
    <row r="216">
      <c r="A216" s="12"/>
      <c r="B216" s="135"/>
      <c r="C216" s="136"/>
      <c r="D216" s="137"/>
      <c r="E216" s="12"/>
      <c r="F216" s="12"/>
    </row>
    <row r="217">
      <c r="A217" s="12"/>
      <c r="B217" s="135"/>
      <c r="C217" s="136"/>
      <c r="D217" s="137"/>
      <c r="E217" s="12"/>
      <c r="F217" s="12"/>
    </row>
    <row r="218">
      <c r="A218" s="12"/>
      <c r="B218" s="135"/>
      <c r="C218" s="136"/>
      <c r="D218" s="137"/>
      <c r="E218" s="12"/>
      <c r="F218" s="12"/>
    </row>
    <row r="219">
      <c r="A219" s="12"/>
      <c r="B219" s="135"/>
      <c r="C219" s="136"/>
      <c r="D219" s="137"/>
      <c r="E219" s="12"/>
      <c r="F219" s="12"/>
    </row>
    <row r="220">
      <c r="A220" s="12"/>
      <c r="B220" s="135"/>
      <c r="C220" s="136"/>
      <c r="D220" s="137"/>
      <c r="E220" s="12"/>
      <c r="F220" s="12"/>
    </row>
    <row r="221">
      <c r="A221" s="12"/>
      <c r="B221" s="135"/>
      <c r="C221" s="136"/>
      <c r="D221" s="137"/>
      <c r="E221" s="12"/>
      <c r="F221" s="12"/>
    </row>
    <row r="222">
      <c r="A222" s="12"/>
      <c r="B222" s="135"/>
      <c r="C222" s="136"/>
      <c r="D222" s="137"/>
      <c r="E222" s="12"/>
      <c r="F222" s="12"/>
    </row>
    <row r="223">
      <c r="A223" s="12"/>
      <c r="B223" s="135"/>
      <c r="C223" s="136"/>
      <c r="D223" s="137"/>
      <c r="E223" s="12"/>
      <c r="F223" s="12"/>
    </row>
    <row r="224">
      <c r="A224" s="12"/>
      <c r="B224" s="135"/>
      <c r="C224" s="136"/>
      <c r="D224" s="137"/>
      <c r="E224" s="12"/>
      <c r="F224" s="12"/>
    </row>
    <row r="225">
      <c r="A225" s="12"/>
      <c r="B225" s="135"/>
      <c r="C225" s="136"/>
      <c r="D225" s="137"/>
      <c r="E225" s="12"/>
      <c r="F225" s="12"/>
    </row>
    <row r="226">
      <c r="A226" s="12"/>
      <c r="B226" s="135"/>
      <c r="C226" s="136"/>
      <c r="D226" s="137"/>
      <c r="E226" s="12"/>
      <c r="F226" s="12"/>
    </row>
    <row r="227">
      <c r="A227" s="12"/>
      <c r="B227" s="135"/>
      <c r="C227" s="136"/>
      <c r="D227" s="137"/>
      <c r="E227" s="12"/>
      <c r="F227" s="12"/>
    </row>
    <row r="228">
      <c r="A228" s="12"/>
      <c r="B228" s="135"/>
      <c r="C228" s="136"/>
      <c r="D228" s="137"/>
      <c r="E228" s="12"/>
      <c r="F228" s="12"/>
    </row>
    <row r="229">
      <c r="A229" s="12"/>
      <c r="B229" s="135"/>
      <c r="C229" s="136"/>
      <c r="D229" s="137"/>
      <c r="E229" s="12"/>
      <c r="F229" s="12"/>
    </row>
    <row r="230">
      <c r="A230" s="12"/>
      <c r="B230" s="135"/>
      <c r="C230" s="136"/>
      <c r="D230" s="137"/>
      <c r="E230" s="12"/>
      <c r="F230" s="12"/>
    </row>
    <row r="231">
      <c r="A231" s="12"/>
      <c r="B231" s="135"/>
      <c r="C231" s="136"/>
      <c r="D231" s="137"/>
      <c r="E231" s="12"/>
      <c r="F231" s="12"/>
    </row>
    <row r="232">
      <c r="A232" s="12"/>
      <c r="B232" s="135"/>
      <c r="C232" s="136"/>
      <c r="D232" s="137"/>
      <c r="E232" s="12"/>
      <c r="F232" s="12"/>
    </row>
    <row r="233">
      <c r="A233" s="12"/>
      <c r="B233" s="135"/>
      <c r="C233" s="136"/>
      <c r="D233" s="137"/>
      <c r="E233" s="12"/>
      <c r="F233" s="12"/>
    </row>
    <row r="234">
      <c r="A234" s="12"/>
      <c r="B234" s="135"/>
      <c r="C234" s="136"/>
      <c r="D234" s="137"/>
      <c r="E234" s="12"/>
      <c r="F234" s="12"/>
    </row>
    <row r="235">
      <c r="A235" s="12"/>
      <c r="B235" s="135"/>
      <c r="C235" s="136"/>
      <c r="D235" s="137"/>
      <c r="E235" s="12"/>
      <c r="F235" s="12"/>
    </row>
    <row r="236">
      <c r="A236" s="12"/>
      <c r="B236" s="135"/>
      <c r="C236" s="136"/>
      <c r="D236" s="137"/>
      <c r="E236" s="12"/>
      <c r="F236" s="12"/>
    </row>
    <row r="237">
      <c r="A237" s="12"/>
      <c r="B237" s="135"/>
      <c r="C237" s="136"/>
      <c r="D237" s="137"/>
      <c r="E237" s="12"/>
      <c r="F237" s="12"/>
    </row>
    <row r="238">
      <c r="A238" s="12"/>
      <c r="B238" s="135"/>
      <c r="C238" s="136"/>
      <c r="D238" s="137"/>
      <c r="E238" s="12"/>
      <c r="F238" s="12"/>
    </row>
    <row r="239">
      <c r="A239" s="12"/>
      <c r="B239" s="135"/>
      <c r="C239" s="136"/>
      <c r="D239" s="137"/>
      <c r="E239" s="12"/>
      <c r="F239" s="12"/>
    </row>
    <row r="240">
      <c r="A240" s="12"/>
      <c r="B240" s="135"/>
      <c r="C240" s="136"/>
      <c r="D240" s="137"/>
      <c r="E240" s="12"/>
      <c r="F240" s="12"/>
    </row>
    <row r="241">
      <c r="A241" s="12"/>
      <c r="B241" s="135"/>
      <c r="C241" s="136"/>
      <c r="D241" s="137"/>
      <c r="E241" s="12"/>
      <c r="F241" s="12"/>
    </row>
    <row r="242">
      <c r="A242" s="12"/>
      <c r="B242" s="135"/>
      <c r="C242" s="136"/>
      <c r="D242" s="137"/>
      <c r="E242" s="12"/>
      <c r="F242" s="12"/>
    </row>
    <row r="243">
      <c r="A243" s="12"/>
      <c r="B243" s="135"/>
      <c r="C243" s="136"/>
      <c r="D243" s="137"/>
      <c r="E243" s="12"/>
      <c r="F243" s="12"/>
    </row>
    <row r="244">
      <c r="A244" s="12"/>
      <c r="B244" s="135"/>
      <c r="C244" s="136"/>
      <c r="D244" s="137"/>
      <c r="E244" s="12"/>
      <c r="F244" s="12"/>
    </row>
    <row r="245">
      <c r="A245" s="12"/>
      <c r="B245" s="135"/>
      <c r="C245" s="136"/>
      <c r="D245" s="137"/>
      <c r="E245" s="12"/>
      <c r="F245" s="12"/>
    </row>
    <row r="246">
      <c r="A246" s="12"/>
      <c r="B246" s="135"/>
      <c r="C246" s="136"/>
      <c r="D246" s="137"/>
      <c r="E246" s="12"/>
      <c r="F246" s="12"/>
    </row>
    <row r="247">
      <c r="A247" s="12"/>
      <c r="B247" s="135"/>
      <c r="C247" s="136"/>
      <c r="D247" s="137"/>
      <c r="E247" s="12"/>
      <c r="F247" s="12"/>
    </row>
    <row r="248">
      <c r="A248" s="12"/>
      <c r="B248" s="135"/>
      <c r="C248" s="136"/>
      <c r="D248" s="137"/>
      <c r="E248" s="12"/>
      <c r="F248" s="12"/>
    </row>
    <row r="249">
      <c r="A249" s="12"/>
      <c r="B249" s="135"/>
      <c r="C249" s="136"/>
      <c r="D249" s="137"/>
      <c r="E249" s="12"/>
      <c r="F249" s="12"/>
    </row>
    <row r="250">
      <c r="A250" s="12"/>
      <c r="B250" s="135"/>
      <c r="C250" s="136"/>
      <c r="D250" s="137"/>
      <c r="E250" s="12"/>
      <c r="F250" s="12"/>
    </row>
    <row r="251">
      <c r="A251" s="12"/>
      <c r="B251" s="135"/>
      <c r="C251" s="136"/>
      <c r="D251" s="137"/>
      <c r="E251" s="12"/>
      <c r="F251" s="12"/>
    </row>
    <row r="252">
      <c r="A252" s="12"/>
      <c r="B252" s="135"/>
      <c r="C252" s="136"/>
      <c r="D252" s="137"/>
      <c r="E252" s="12"/>
      <c r="F252" s="12"/>
    </row>
    <row r="253">
      <c r="A253" s="12"/>
      <c r="B253" s="135"/>
      <c r="C253" s="136"/>
      <c r="D253" s="137"/>
      <c r="E253" s="12"/>
      <c r="F253" s="12"/>
    </row>
    <row r="254">
      <c r="A254" s="12"/>
      <c r="B254" s="135"/>
      <c r="C254" s="136"/>
      <c r="D254" s="137"/>
      <c r="E254" s="12"/>
      <c r="F254" s="12"/>
    </row>
    <row r="255">
      <c r="A255" s="12"/>
      <c r="B255" s="135"/>
      <c r="C255" s="136"/>
      <c r="D255" s="137"/>
      <c r="E255" s="12"/>
      <c r="F255" s="12"/>
    </row>
    <row r="256">
      <c r="A256" s="12"/>
      <c r="B256" s="135"/>
      <c r="C256" s="136"/>
      <c r="D256" s="137"/>
      <c r="E256" s="12"/>
      <c r="F256" s="12"/>
    </row>
    <row r="257">
      <c r="A257" s="12"/>
      <c r="B257" s="135"/>
      <c r="C257" s="136"/>
      <c r="D257" s="137"/>
      <c r="E257" s="12"/>
      <c r="F257" s="12"/>
    </row>
    <row r="258">
      <c r="A258" s="12"/>
      <c r="B258" s="135"/>
      <c r="C258" s="136"/>
      <c r="D258" s="137"/>
      <c r="E258" s="12"/>
      <c r="F258" s="12"/>
    </row>
    <row r="259">
      <c r="A259" s="12"/>
      <c r="B259" s="135"/>
      <c r="C259" s="136"/>
      <c r="D259" s="137"/>
      <c r="E259" s="12"/>
      <c r="F259" s="12"/>
    </row>
    <row r="260">
      <c r="A260" s="12"/>
      <c r="B260" s="135"/>
      <c r="C260" s="136"/>
      <c r="D260" s="137"/>
      <c r="E260" s="12"/>
      <c r="F260" s="12"/>
    </row>
    <row r="261">
      <c r="A261" s="12"/>
      <c r="B261" s="135"/>
      <c r="C261" s="136"/>
      <c r="D261" s="137"/>
      <c r="E261" s="12"/>
      <c r="F261" s="12"/>
    </row>
    <row r="262">
      <c r="A262" s="12"/>
      <c r="B262" s="135"/>
      <c r="C262" s="136"/>
      <c r="D262" s="137"/>
      <c r="E262" s="12"/>
      <c r="F262" s="12"/>
    </row>
    <row r="263">
      <c r="A263" s="12"/>
      <c r="B263" s="135"/>
      <c r="C263" s="136"/>
      <c r="D263" s="137"/>
      <c r="E263" s="12"/>
      <c r="F263" s="12"/>
    </row>
    <row r="264">
      <c r="A264" s="12"/>
      <c r="B264" s="135"/>
      <c r="C264" s="136"/>
      <c r="D264" s="137"/>
      <c r="E264" s="12"/>
      <c r="F264" s="12"/>
    </row>
    <row r="265">
      <c r="A265" s="12"/>
      <c r="B265" s="135"/>
      <c r="C265" s="136"/>
      <c r="D265" s="137"/>
      <c r="E265" s="12"/>
      <c r="F265" s="12"/>
    </row>
    <row r="266">
      <c r="A266" s="12"/>
      <c r="B266" s="135"/>
      <c r="C266" s="136"/>
      <c r="D266" s="137"/>
      <c r="E266" s="12"/>
      <c r="F266" s="12"/>
    </row>
    <row r="267">
      <c r="A267" s="12"/>
      <c r="B267" s="135"/>
      <c r="C267" s="136"/>
      <c r="D267" s="137"/>
      <c r="E267" s="12"/>
      <c r="F267" s="12"/>
    </row>
    <row r="268">
      <c r="A268" s="12"/>
      <c r="B268" s="135"/>
      <c r="C268" s="136"/>
      <c r="D268" s="137"/>
      <c r="E268" s="12"/>
      <c r="F268" s="12"/>
    </row>
    <row r="269">
      <c r="A269" s="12"/>
      <c r="B269" s="135"/>
      <c r="C269" s="136"/>
      <c r="D269" s="137"/>
      <c r="E269" s="12"/>
      <c r="F269" s="12"/>
    </row>
    <row r="270">
      <c r="A270" s="12"/>
      <c r="B270" s="135"/>
      <c r="C270" s="136"/>
      <c r="D270" s="137"/>
      <c r="E270" s="12"/>
      <c r="F270" s="12"/>
    </row>
    <row r="271">
      <c r="A271" s="12"/>
      <c r="B271" s="135"/>
      <c r="C271" s="136"/>
      <c r="D271" s="137"/>
      <c r="E271" s="12"/>
      <c r="F271" s="12"/>
    </row>
    <row r="272">
      <c r="A272" s="12"/>
      <c r="B272" s="135"/>
      <c r="C272" s="136"/>
      <c r="D272" s="137"/>
      <c r="E272" s="12"/>
      <c r="F272" s="12"/>
    </row>
    <row r="273">
      <c r="A273" s="12"/>
      <c r="B273" s="135"/>
      <c r="C273" s="136"/>
      <c r="D273" s="137"/>
      <c r="E273" s="12"/>
      <c r="F273" s="12"/>
    </row>
    <row r="274">
      <c r="A274" s="12"/>
      <c r="B274" s="135"/>
      <c r="C274" s="136"/>
      <c r="D274" s="137"/>
      <c r="E274" s="12"/>
      <c r="F274" s="12"/>
    </row>
    <row r="275">
      <c r="A275" s="12"/>
      <c r="B275" s="135"/>
      <c r="C275" s="136"/>
      <c r="D275" s="137"/>
      <c r="E275" s="12"/>
      <c r="F275" s="12"/>
    </row>
    <row r="276">
      <c r="A276" s="12"/>
      <c r="B276" s="135"/>
      <c r="C276" s="136"/>
      <c r="D276" s="137"/>
      <c r="E276" s="12"/>
      <c r="F276" s="12"/>
    </row>
    <row r="277">
      <c r="A277" s="12"/>
      <c r="B277" s="135"/>
      <c r="C277" s="136"/>
      <c r="D277" s="137"/>
      <c r="E277" s="12"/>
      <c r="F277" s="12"/>
    </row>
    <row r="278">
      <c r="A278" s="12"/>
      <c r="B278" s="135"/>
      <c r="C278" s="136"/>
      <c r="D278" s="137"/>
      <c r="E278" s="12"/>
      <c r="F278" s="12"/>
    </row>
    <row r="279">
      <c r="A279" s="12"/>
      <c r="B279" s="135"/>
      <c r="C279" s="136"/>
      <c r="D279" s="137"/>
      <c r="E279" s="12"/>
      <c r="F279" s="12"/>
    </row>
    <row r="280">
      <c r="A280" s="12"/>
      <c r="B280" s="135"/>
      <c r="C280" s="136"/>
      <c r="D280" s="137"/>
      <c r="E280" s="12"/>
      <c r="F280" s="12"/>
    </row>
    <row r="281">
      <c r="A281" s="12"/>
      <c r="B281" s="135"/>
      <c r="C281" s="136"/>
      <c r="D281" s="137"/>
      <c r="E281" s="12"/>
      <c r="F281" s="12"/>
    </row>
    <row r="282">
      <c r="A282" s="12"/>
      <c r="B282" s="135"/>
      <c r="C282" s="136"/>
      <c r="D282" s="137"/>
      <c r="E282" s="12"/>
      <c r="F282" s="12"/>
    </row>
    <row r="283">
      <c r="A283" s="12"/>
      <c r="B283" s="135"/>
      <c r="C283" s="136"/>
      <c r="D283" s="137"/>
      <c r="E283" s="12"/>
      <c r="F283" s="12"/>
    </row>
    <row r="284">
      <c r="A284" s="12"/>
      <c r="B284" s="135"/>
      <c r="C284" s="136"/>
      <c r="D284" s="137"/>
      <c r="E284" s="12"/>
      <c r="F284" s="12"/>
    </row>
    <row r="285">
      <c r="A285" s="12"/>
      <c r="B285" s="135"/>
      <c r="C285" s="136"/>
      <c r="D285" s="137"/>
      <c r="E285" s="12"/>
      <c r="F285" s="12"/>
    </row>
    <row r="286">
      <c r="A286" s="12"/>
      <c r="B286" s="135"/>
      <c r="C286" s="136"/>
      <c r="D286" s="137"/>
      <c r="E286" s="12"/>
      <c r="F286" s="12"/>
    </row>
    <row r="287">
      <c r="A287" s="12"/>
      <c r="B287" s="135"/>
      <c r="C287" s="136"/>
      <c r="D287" s="137"/>
      <c r="E287" s="12"/>
      <c r="F287" s="12"/>
    </row>
    <row r="288">
      <c r="A288" s="12"/>
      <c r="B288" s="135"/>
      <c r="C288" s="136"/>
      <c r="D288" s="137"/>
      <c r="E288" s="12"/>
      <c r="F288" s="12"/>
    </row>
    <row r="289">
      <c r="A289" s="12"/>
      <c r="B289" s="135"/>
      <c r="C289" s="136"/>
      <c r="D289" s="137"/>
      <c r="E289" s="12"/>
      <c r="F289" s="12"/>
    </row>
    <row r="290">
      <c r="A290" s="12"/>
      <c r="B290" s="135"/>
      <c r="C290" s="136"/>
      <c r="D290" s="137"/>
      <c r="E290" s="12"/>
      <c r="F290" s="12"/>
    </row>
    <row r="291">
      <c r="A291" s="12"/>
      <c r="B291" s="135"/>
      <c r="C291" s="136"/>
      <c r="D291" s="137"/>
      <c r="E291" s="12"/>
      <c r="F291" s="12"/>
    </row>
    <row r="292">
      <c r="A292" s="12"/>
      <c r="B292" s="135"/>
      <c r="C292" s="136"/>
      <c r="D292" s="137"/>
      <c r="E292" s="12"/>
      <c r="F292" s="12"/>
    </row>
    <row r="293">
      <c r="A293" s="12"/>
      <c r="B293" s="135"/>
      <c r="C293" s="136"/>
      <c r="D293" s="137"/>
      <c r="E293" s="12"/>
      <c r="F293" s="12"/>
    </row>
    <row r="294">
      <c r="A294" s="12"/>
      <c r="B294" s="135"/>
      <c r="C294" s="136"/>
      <c r="D294" s="137"/>
      <c r="E294" s="12"/>
      <c r="F294" s="12"/>
    </row>
    <row r="295">
      <c r="A295" s="12"/>
      <c r="B295" s="135"/>
      <c r="C295" s="136"/>
      <c r="D295" s="137"/>
      <c r="E295" s="12"/>
      <c r="F295" s="12"/>
    </row>
    <row r="296">
      <c r="A296" s="12"/>
      <c r="B296" s="135"/>
      <c r="C296" s="136"/>
      <c r="D296" s="137"/>
      <c r="E296" s="12"/>
      <c r="F296" s="12"/>
    </row>
    <row r="297">
      <c r="A297" s="12"/>
      <c r="B297" s="135"/>
      <c r="C297" s="136"/>
      <c r="D297" s="137"/>
      <c r="E297" s="12"/>
      <c r="F297" s="12"/>
    </row>
    <row r="298">
      <c r="A298" s="12"/>
      <c r="B298" s="135"/>
      <c r="C298" s="136"/>
      <c r="D298" s="137"/>
      <c r="E298" s="12"/>
      <c r="F298" s="12"/>
    </row>
    <row r="299">
      <c r="A299" s="12"/>
      <c r="B299" s="135"/>
      <c r="C299" s="136"/>
      <c r="D299" s="137"/>
      <c r="E299" s="12"/>
      <c r="F299" s="12"/>
    </row>
    <row r="300">
      <c r="A300" s="12"/>
      <c r="B300" s="135"/>
      <c r="C300" s="136"/>
      <c r="D300" s="137"/>
      <c r="E300" s="12"/>
      <c r="F300" s="12"/>
    </row>
    <row r="301">
      <c r="A301" s="12"/>
      <c r="B301" s="135"/>
      <c r="C301" s="136"/>
      <c r="D301" s="137"/>
      <c r="E301" s="12"/>
      <c r="F301" s="12"/>
    </row>
    <row r="302">
      <c r="A302" s="12"/>
      <c r="B302" s="135"/>
      <c r="C302" s="136"/>
      <c r="D302" s="137"/>
      <c r="E302" s="12"/>
      <c r="F302" s="12"/>
    </row>
    <row r="303">
      <c r="A303" s="12"/>
      <c r="B303" s="135"/>
      <c r="C303" s="136"/>
      <c r="D303" s="137"/>
      <c r="E303" s="12"/>
      <c r="F303" s="12"/>
    </row>
    <row r="304">
      <c r="A304" s="12"/>
      <c r="B304" s="135"/>
      <c r="C304" s="136"/>
      <c r="D304" s="137"/>
      <c r="E304" s="12"/>
      <c r="F304" s="12"/>
    </row>
    <row r="305">
      <c r="A305" s="12"/>
      <c r="B305" s="135"/>
      <c r="C305" s="136"/>
      <c r="D305" s="137"/>
      <c r="E305" s="12"/>
      <c r="F305" s="12"/>
    </row>
    <row r="306">
      <c r="A306" s="12"/>
      <c r="B306" s="135"/>
      <c r="C306" s="136"/>
      <c r="D306" s="137"/>
      <c r="E306" s="12"/>
      <c r="F306" s="12"/>
    </row>
    <row r="307">
      <c r="A307" s="12"/>
      <c r="B307" s="135"/>
      <c r="C307" s="136"/>
      <c r="D307" s="137"/>
      <c r="E307" s="12"/>
      <c r="F307" s="12"/>
    </row>
    <row r="308">
      <c r="A308" s="12"/>
      <c r="B308" s="135"/>
      <c r="C308" s="136"/>
      <c r="D308" s="137"/>
      <c r="E308" s="12"/>
      <c r="F308" s="12"/>
    </row>
    <row r="309">
      <c r="A309" s="12"/>
      <c r="B309" s="135"/>
      <c r="C309" s="136"/>
      <c r="D309" s="137"/>
      <c r="E309" s="12"/>
      <c r="F309" s="12"/>
    </row>
    <row r="310">
      <c r="A310" s="12"/>
      <c r="B310" s="135"/>
      <c r="C310" s="136"/>
      <c r="D310" s="137"/>
      <c r="E310" s="12"/>
      <c r="F310" s="12"/>
    </row>
    <row r="311">
      <c r="A311" s="12"/>
      <c r="B311" s="135"/>
      <c r="C311" s="136"/>
      <c r="D311" s="137"/>
      <c r="E311" s="12"/>
      <c r="F311" s="12"/>
    </row>
    <row r="312">
      <c r="A312" s="12"/>
      <c r="B312" s="135"/>
      <c r="C312" s="136"/>
      <c r="D312" s="137"/>
      <c r="E312" s="12"/>
      <c r="F312" s="12"/>
    </row>
    <row r="313">
      <c r="A313" s="12"/>
      <c r="B313" s="135"/>
      <c r="C313" s="136"/>
      <c r="D313" s="137"/>
      <c r="E313" s="12"/>
      <c r="F313" s="12"/>
    </row>
    <row r="314">
      <c r="A314" s="12"/>
      <c r="B314" s="135"/>
      <c r="C314" s="136"/>
      <c r="D314" s="137"/>
      <c r="E314" s="12"/>
      <c r="F314" s="12"/>
    </row>
    <row r="315">
      <c r="A315" s="12"/>
      <c r="B315" s="135"/>
      <c r="C315" s="136"/>
      <c r="D315" s="137"/>
      <c r="E315" s="12"/>
      <c r="F315" s="12"/>
    </row>
    <row r="316">
      <c r="A316" s="12"/>
      <c r="B316" s="135"/>
      <c r="C316" s="136"/>
      <c r="D316" s="137"/>
      <c r="E316" s="12"/>
      <c r="F316" s="12"/>
    </row>
    <row r="317">
      <c r="A317" s="12"/>
      <c r="B317" s="135"/>
      <c r="C317" s="136"/>
      <c r="D317" s="137"/>
      <c r="E317" s="12"/>
      <c r="F317" s="12"/>
    </row>
    <row r="318">
      <c r="A318" s="12"/>
      <c r="B318" s="135"/>
      <c r="C318" s="136"/>
      <c r="D318" s="137"/>
      <c r="E318" s="12"/>
      <c r="F318" s="12"/>
    </row>
    <row r="319">
      <c r="A319" s="12"/>
      <c r="B319" s="135"/>
      <c r="C319" s="136"/>
      <c r="D319" s="137"/>
      <c r="E319" s="12"/>
      <c r="F319" s="12"/>
    </row>
    <row r="320">
      <c r="A320" s="12"/>
      <c r="B320" s="135"/>
      <c r="C320" s="136"/>
      <c r="D320" s="137"/>
      <c r="E320" s="12"/>
      <c r="F320" s="12"/>
    </row>
    <row r="321">
      <c r="A321" s="12"/>
      <c r="B321" s="135"/>
      <c r="C321" s="136"/>
      <c r="D321" s="137"/>
      <c r="E321" s="12"/>
      <c r="F321" s="12"/>
    </row>
    <row r="322">
      <c r="A322" s="12"/>
      <c r="B322" s="135"/>
      <c r="C322" s="136"/>
      <c r="D322" s="137"/>
      <c r="E322" s="12"/>
      <c r="F322" s="12"/>
    </row>
    <row r="323">
      <c r="A323" s="12"/>
      <c r="B323" s="135"/>
      <c r="C323" s="136"/>
      <c r="D323" s="137"/>
      <c r="E323" s="12"/>
      <c r="F323" s="12"/>
    </row>
    <row r="324">
      <c r="A324" s="12"/>
      <c r="B324" s="135"/>
      <c r="C324" s="136"/>
      <c r="D324" s="137"/>
      <c r="E324" s="12"/>
      <c r="F324" s="12"/>
    </row>
    <row r="325">
      <c r="A325" s="12"/>
      <c r="B325" s="135"/>
      <c r="C325" s="136"/>
      <c r="D325" s="137"/>
      <c r="E325" s="12"/>
      <c r="F325" s="12"/>
    </row>
    <row r="326">
      <c r="A326" s="12"/>
      <c r="B326" s="135"/>
      <c r="C326" s="136"/>
      <c r="D326" s="137"/>
      <c r="E326" s="12"/>
      <c r="F326" s="12"/>
    </row>
    <row r="327">
      <c r="A327" s="12"/>
      <c r="B327" s="135"/>
      <c r="C327" s="136"/>
      <c r="D327" s="137"/>
      <c r="E327" s="12"/>
      <c r="F327" s="12"/>
    </row>
    <row r="328">
      <c r="A328" s="12"/>
      <c r="B328" s="135"/>
      <c r="C328" s="136"/>
      <c r="D328" s="137"/>
      <c r="E328" s="12"/>
      <c r="F328" s="12"/>
    </row>
    <row r="329">
      <c r="A329" s="12"/>
      <c r="B329" s="135"/>
      <c r="C329" s="136"/>
      <c r="D329" s="137"/>
      <c r="E329" s="12"/>
      <c r="F329" s="12"/>
    </row>
    <row r="330">
      <c r="A330" s="12"/>
      <c r="B330" s="135"/>
      <c r="C330" s="136"/>
      <c r="D330" s="137"/>
      <c r="E330" s="12"/>
      <c r="F330" s="12"/>
    </row>
    <row r="331">
      <c r="A331" s="12"/>
      <c r="B331" s="135"/>
      <c r="C331" s="136"/>
      <c r="D331" s="137"/>
      <c r="E331" s="12"/>
      <c r="F331" s="12"/>
    </row>
    <row r="332">
      <c r="A332" s="12"/>
      <c r="B332" s="135"/>
      <c r="C332" s="136"/>
      <c r="D332" s="137"/>
      <c r="E332" s="12"/>
      <c r="F332" s="12"/>
    </row>
    <row r="333">
      <c r="A333" s="12"/>
      <c r="B333" s="135"/>
      <c r="C333" s="136"/>
      <c r="D333" s="137"/>
      <c r="E333" s="12"/>
      <c r="F333" s="12"/>
    </row>
    <row r="334">
      <c r="A334" s="12"/>
      <c r="B334" s="135"/>
      <c r="C334" s="136"/>
      <c r="D334" s="137"/>
      <c r="E334" s="12"/>
      <c r="F334" s="12"/>
    </row>
    <row r="335">
      <c r="A335" s="12"/>
      <c r="B335" s="135"/>
      <c r="C335" s="136"/>
      <c r="D335" s="137"/>
      <c r="E335" s="12"/>
      <c r="F335" s="12"/>
    </row>
    <row r="336">
      <c r="A336" s="12"/>
      <c r="B336" s="135"/>
      <c r="C336" s="136"/>
      <c r="D336" s="137"/>
      <c r="E336" s="12"/>
      <c r="F336" s="12"/>
    </row>
    <row r="337">
      <c r="A337" s="12"/>
      <c r="B337" s="135"/>
      <c r="C337" s="136"/>
      <c r="D337" s="137"/>
      <c r="E337" s="12"/>
      <c r="F337" s="12"/>
    </row>
    <row r="338">
      <c r="A338" s="12"/>
      <c r="B338" s="135"/>
      <c r="C338" s="136"/>
      <c r="D338" s="137"/>
      <c r="E338" s="12"/>
      <c r="F338" s="12"/>
    </row>
    <row r="339">
      <c r="A339" s="12"/>
      <c r="B339" s="135"/>
      <c r="C339" s="136"/>
      <c r="D339" s="137"/>
      <c r="E339" s="12"/>
      <c r="F339" s="12"/>
    </row>
    <row r="340">
      <c r="A340" s="12"/>
      <c r="B340" s="135"/>
      <c r="C340" s="136"/>
      <c r="D340" s="137"/>
      <c r="E340" s="12"/>
      <c r="F340" s="12"/>
    </row>
    <row r="341">
      <c r="A341" s="12"/>
      <c r="B341" s="135"/>
      <c r="C341" s="136"/>
      <c r="D341" s="137"/>
      <c r="E341" s="12"/>
      <c r="F341" s="12"/>
    </row>
    <row r="342">
      <c r="A342" s="12"/>
      <c r="B342" s="135"/>
      <c r="C342" s="136"/>
      <c r="D342" s="137"/>
      <c r="E342" s="12"/>
      <c r="F342" s="12"/>
    </row>
    <row r="343">
      <c r="A343" s="12"/>
      <c r="B343" s="135"/>
      <c r="C343" s="136"/>
      <c r="D343" s="137"/>
      <c r="E343" s="12"/>
      <c r="F343" s="12"/>
    </row>
    <row r="344">
      <c r="A344" s="12"/>
      <c r="B344" s="135"/>
      <c r="C344" s="136"/>
      <c r="D344" s="137"/>
      <c r="E344" s="12"/>
      <c r="F344" s="12"/>
    </row>
    <row r="345">
      <c r="A345" s="12"/>
      <c r="B345" s="135"/>
      <c r="C345" s="136"/>
      <c r="D345" s="137"/>
      <c r="E345" s="12"/>
      <c r="F345" s="12"/>
    </row>
    <row r="346">
      <c r="A346" s="12"/>
      <c r="B346" s="135"/>
      <c r="C346" s="136"/>
      <c r="D346" s="137"/>
      <c r="E346" s="12"/>
      <c r="F346" s="12"/>
    </row>
    <row r="347">
      <c r="A347" s="12"/>
      <c r="B347" s="135"/>
      <c r="C347" s="136"/>
      <c r="D347" s="137"/>
      <c r="E347" s="12"/>
      <c r="F347" s="12"/>
    </row>
    <row r="348">
      <c r="A348" s="12"/>
      <c r="B348" s="135"/>
      <c r="C348" s="136"/>
      <c r="D348" s="137"/>
      <c r="E348" s="12"/>
      <c r="F348" s="12"/>
    </row>
    <row r="349">
      <c r="A349" s="12"/>
      <c r="B349" s="135"/>
      <c r="C349" s="136"/>
      <c r="D349" s="137"/>
      <c r="E349" s="12"/>
      <c r="F349" s="12"/>
    </row>
    <row r="350">
      <c r="A350" s="12"/>
      <c r="B350" s="135"/>
      <c r="C350" s="136"/>
      <c r="D350" s="137"/>
      <c r="E350" s="12"/>
      <c r="F350" s="12"/>
    </row>
    <row r="351">
      <c r="A351" s="12"/>
      <c r="B351" s="135"/>
      <c r="C351" s="136"/>
      <c r="D351" s="137"/>
      <c r="E351" s="12"/>
      <c r="F351" s="12"/>
    </row>
    <row r="352">
      <c r="A352" s="12"/>
      <c r="B352" s="135"/>
      <c r="C352" s="136"/>
      <c r="D352" s="137"/>
      <c r="E352" s="12"/>
      <c r="F352" s="12"/>
    </row>
    <row r="353">
      <c r="A353" s="12"/>
      <c r="B353" s="135"/>
      <c r="C353" s="136"/>
      <c r="D353" s="137"/>
      <c r="E353" s="12"/>
      <c r="F353" s="12"/>
    </row>
    <row r="354">
      <c r="A354" s="12"/>
      <c r="B354" s="135"/>
      <c r="C354" s="136"/>
      <c r="D354" s="137"/>
      <c r="E354" s="12"/>
      <c r="F354" s="12"/>
    </row>
    <row r="355">
      <c r="A355" s="12"/>
      <c r="B355" s="135"/>
      <c r="C355" s="136"/>
      <c r="D355" s="137"/>
      <c r="E355" s="12"/>
      <c r="F355" s="12"/>
    </row>
    <row r="356">
      <c r="A356" s="12"/>
      <c r="B356" s="135"/>
      <c r="C356" s="136"/>
      <c r="D356" s="137"/>
      <c r="E356" s="12"/>
      <c r="F356" s="12"/>
    </row>
    <row r="357">
      <c r="A357" s="12"/>
      <c r="B357" s="135"/>
      <c r="C357" s="136"/>
      <c r="D357" s="137"/>
      <c r="E357" s="12"/>
      <c r="F357" s="12"/>
    </row>
    <row r="358">
      <c r="A358" s="12"/>
      <c r="B358" s="135"/>
      <c r="C358" s="136"/>
      <c r="D358" s="137"/>
      <c r="E358" s="12"/>
      <c r="F358" s="12"/>
    </row>
    <row r="359">
      <c r="A359" s="12"/>
      <c r="B359" s="135"/>
      <c r="C359" s="136"/>
      <c r="D359" s="137"/>
      <c r="E359" s="12"/>
      <c r="F359" s="12"/>
    </row>
    <row r="360">
      <c r="A360" s="12"/>
      <c r="B360" s="135"/>
      <c r="C360" s="136"/>
      <c r="D360" s="137"/>
      <c r="E360" s="12"/>
      <c r="F360" s="12"/>
    </row>
    <row r="361">
      <c r="A361" s="12"/>
      <c r="B361" s="135"/>
      <c r="C361" s="136"/>
      <c r="D361" s="137"/>
      <c r="E361" s="12"/>
      <c r="F361" s="12"/>
    </row>
    <row r="362">
      <c r="A362" s="12"/>
      <c r="B362" s="135"/>
      <c r="C362" s="136"/>
      <c r="D362" s="137"/>
      <c r="E362" s="12"/>
      <c r="F362" s="12"/>
    </row>
    <row r="363">
      <c r="A363" s="12"/>
      <c r="B363" s="135"/>
      <c r="C363" s="136"/>
      <c r="D363" s="137"/>
      <c r="E363" s="12"/>
      <c r="F363" s="12"/>
    </row>
    <row r="364">
      <c r="A364" s="12"/>
      <c r="B364" s="135"/>
      <c r="C364" s="136"/>
      <c r="D364" s="137"/>
      <c r="E364" s="12"/>
      <c r="F364" s="12"/>
    </row>
    <row r="365">
      <c r="A365" s="12"/>
      <c r="B365" s="135"/>
      <c r="C365" s="136"/>
      <c r="D365" s="137"/>
      <c r="E365" s="12"/>
      <c r="F365" s="12"/>
    </row>
    <row r="366">
      <c r="A366" s="12"/>
      <c r="B366" s="135"/>
      <c r="C366" s="136"/>
      <c r="D366" s="137"/>
      <c r="E366" s="12"/>
      <c r="F366" s="12"/>
    </row>
    <row r="367">
      <c r="A367" s="12"/>
      <c r="B367" s="135"/>
      <c r="C367" s="136"/>
      <c r="D367" s="137"/>
      <c r="E367" s="12"/>
      <c r="F367" s="12"/>
    </row>
    <row r="368">
      <c r="A368" s="12"/>
      <c r="B368" s="135"/>
      <c r="C368" s="136"/>
      <c r="D368" s="137"/>
      <c r="E368" s="12"/>
      <c r="F368" s="12"/>
    </row>
    <row r="369">
      <c r="A369" s="12"/>
      <c r="B369" s="135"/>
      <c r="C369" s="136"/>
      <c r="D369" s="137"/>
      <c r="E369" s="12"/>
      <c r="F369" s="12"/>
    </row>
    <row r="370">
      <c r="A370" s="12"/>
      <c r="B370" s="135"/>
      <c r="C370" s="136"/>
      <c r="D370" s="137"/>
      <c r="E370" s="12"/>
      <c r="F370" s="12"/>
    </row>
    <row r="371">
      <c r="A371" s="12"/>
      <c r="B371" s="135"/>
      <c r="C371" s="136"/>
      <c r="D371" s="137"/>
      <c r="E371" s="12"/>
      <c r="F371" s="12"/>
    </row>
    <row r="372">
      <c r="A372" s="12"/>
      <c r="B372" s="135"/>
      <c r="C372" s="136"/>
      <c r="D372" s="137"/>
      <c r="E372" s="12"/>
      <c r="F372" s="12"/>
    </row>
    <row r="373">
      <c r="A373" s="12"/>
      <c r="B373" s="135"/>
      <c r="C373" s="136"/>
      <c r="D373" s="137"/>
      <c r="E373" s="12"/>
      <c r="F373" s="12"/>
    </row>
    <row r="374">
      <c r="A374" s="12"/>
      <c r="B374" s="135"/>
      <c r="C374" s="136"/>
      <c r="D374" s="137"/>
      <c r="E374" s="12"/>
      <c r="F374" s="12"/>
    </row>
    <row r="375">
      <c r="A375" s="12"/>
      <c r="B375" s="135"/>
      <c r="C375" s="136"/>
      <c r="D375" s="137"/>
      <c r="E375" s="12"/>
      <c r="F375" s="12"/>
    </row>
    <row r="376">
      <c r="A376" s="12"/>
      <c r="B376" s="135"/>
      <c r="C376" s="136"/>
      <c r="D376" s="137"/>
      <c r="E376" s="12"/>
      <c r="F376" s="12"/>
    </row>
    <row r="377">
      <c r="A377" s="12"/>
      <c r="B377" s="135"/>
      <c r="C377" s="136"/>
      <c r="D377" s="137"/>
      <c r="E377" s="12"/>
      <c r="F377" s="12"/>
    </row>
    <row r="378">
      <c r="A378" s="12"/>
      <c r="B378" s="135"/>
      <c r="C378" s="136"/>
      <c r="D378" s="137"/>
      <c r="E378" s="12"/>
      <c r="F378" s="12"/>
    </row>
    <row r="379">
      <c r="A379" s="12"/>
      <c r="B379" s="135"/>
      <c r="C379" s="136"/>
      <c r="D379" s="137"/>
      <c r="E379" s="12"/>
      <c r="F379" s="12"/>
    </row>
    <row r="380">
      <c r="A380" s="12"/>
      <c r="B380" s="135"/>
      <c r="C380" s="136"/>
      <c r="D380" s="137"/>
      <c r="E380" s="12"/>
      <c r="F380" s="12"/>
    </row>
    <row r="381">
      <c r="A381" s="12"/>
      <c r="B381" s="135"/>
      <c r="C381" s="136"/>
      <c r="D381" s="137"/>
      <c r="E381" s="12"/>
      <c r="F381" s="12"/>
    </row>
    <row r="382">
      <c r="A382" s="12"/>
      <c r="B382" s="135"/>
      <c r="C382" s="136"/>
      <c r="D382" s="137"/>
      <c r="E382" s="12"/>
      <c r="F382" s="12"/>
    </row>
    <row r="383">
      <c r="A383" s="12"/>
      <c r="B383" s="135"/>
      <c r="C383" s="136"/>
      <c r="D383" s="137"/>
      <c r="E383" s="12"/>
      <c r="F383" s="12"/>
    </row>
    <row r="384">
      <c r="A384" s="12"/>
      <c r="B384" s="135"/>
      <c r="C384" s="136"/>
      <c r="D384" s="137"/>
      <c r="E384" s="12"/>
      <c r="F384" s="12"/>
    </row>
    <row r="385">
      <c r="A385" s="12"/>
      <c r="B385" s="135"/>
      <c r="C385" s="136"/>
      <c r="D385" s="137"/>
      <c r="E385" s="12"/>
      <c r="F385" s="12"/>
    </row>
    <row r="386">
      <c r="A386" s="12"/>
      <c r="B386" s="135"/>
      <c r="C386" s="136"/>
      <c r="D386" s="137"/>
      <c r="E386" s="12"/>
      <c r="F386" s="12"/>
    </row>
    <row r="387">
      <c r="A387" s="12"/>
      <c r="B387" s="135"/>
      <c r="C387" s="136"/>
      <c r="D387" s="137"/>
      <c r="E387" s="12"/>
      <c r="F387" s="12"/>
    </row>
    <row r="388">
      <c r="A388" s="12"/>
      <c r="B388" s="135"/>
      <c r="C388" s="136"/>
      <c r="D388" s="137"/>
      <c r="E388" s="12"/>
      <c r="F388" s="12"/>
    </row>
    <row r="389">
      <c r="A389" s="12"/>
      <c r="B389" s="135"/>
      <c r="C389" s="136"/>
      <c r="D389" s="137"/>
      <c r="E389" s="12"/>
      <c r="F389" s="12"/>
    </row>
    <row r="390">
      <c r="A390" s="12"/>
      <c r="B390" s="135"/>
      <c r="C390" s="136"/>
      <c r="D390" s="137"/>
      <c r="E390" s="12"/>
      <c r="F390" s="12"/>
    </row>
    <row r="391">
      <c r="A391" s="12"/>
      <c r="B391" s="135"/>
      <c r="C391" s="136"/>
      <c r="D391" s="137"/>
      <c r="E391" s="12"/>
      <c r="F391" s="12"/>
    </row>
    <row r="392">
      <c r="A392" s="12"/>
      <c r="B392" s="135"/>
      <c r="C392" s="136"/>
      <c r="D392" s="137"/>
      <c r="E392" s="12"/>
      <c r="F392" s="12"/>
    </row>
    <row r="393">
      <c r="A393" s="12"/>
      <c r="B393" s="135"/>
      <c r="C393" s="136"/>
      <c r="D393" s="137"/>
      <c r="E393" s="12"/>
      <c r="F393" s="12"/>
    </row>
    <row r="394">
      <c r="A394" s="12"/>
      <c r="B394" s="135"/>
      <c r="C394" s="136"/>
      <c r="D394" s="137"/>
      <c r="E394" s="12"/>
      <c r="F394" s="12"/>
    </row>
    <row r="395">
      <c r="A395" s="12"/>
      <c r="B395" s="135"/>
      <c r="C395" s="136"/>
      <c r="D395" s="137"/>
      <c r="E395" s="12"/>
      <c r="F395" s="12"/>
    </row>
    <row r="396">
      <c r="A396" s="12"/>
      <c r="B396" s="135"/>
      <c r="C396" s="136"/>
      <c r="D396" s="137"/>
      <c r="E396" s="12"/>
      <c r="F396" s="12"/>
    </row>
    <row r="397">
      <c r="A397" s="12"/>
      <c r="B397" s="135"/>
      <c r="C397" s="136"/>
      <c r="D397" s="137"/>
      <c r="E397" s="12"/>
      <c r="F397" s="12"/>
    </row>
    <row r="398">
      <c r="A398" s="12"/>
      <c r="B398" s="135"/>
      <c r="C398" s="136"/>
      <c r="D398" s="137"/>
      <c r="E398" s="12"/>
      <c r="F398" s="12"/>
    </row>
    <row r="399">
      <c r="A399" s="12"/>
      <c r="B399" s="135"/>
      <c r="C399" s="136"/>
      <c r="D399" s="137"/>
      <c r="E399" s="12"/>
      <c r="F399" s="12"/>
    </row>
    <row r="400">
      <c r="A400" s="12"/>
      <c r="B400" s="135"/>
      <c r="C400" s="136"/>
      <c r="D400" s="137"/>
      <c r="E400" s="12"/>
      <c r="F400" s="12"/>
    </row>
    <row r="401">
      <c r="A401" s="12"/>
      <c r="B401" s="135"/>
      <c r="C401" s="136"/>
      <c r="D401" s="137"/>
      <c r="E401" s="12"/>
      <c r="F401" s="12"/>
    </row>
    <row r="402">
      <c r="A402" s="12"/>
      <c r="B402" s="135"/>
      <c r="C402" s="136"/>
      <c r="D402" s="137"/>
      <c r="E402" s="12"/>
      <c r="F402" s="12"/>
    </row>
    <row r="403">
      <c r="A403" s="12"/>
      <c r="B403" s="135"/>
      <c r="C403" s="136"/>
      <c r="D403" s="137"/>
      <c r="E403" s="12"/>
      <c r="F403" s="12"/>
    </row>
    <row r="404">
      <c r="A404" s="12"/>
      <c r="B404" s="135"/>
      <c r="C404" s="136"/>
      <c r="D404" s="137"/>
      <c r="E404" s="12"/>
      <c r="F404" s="12"/>
    </row>
    <row r="405">
      <c r="A405" s="12"/>
      <c r="B405" s="135"/>
      <c r="C405" s="136"/>
      <c r="D405" s="137"/>
      <c r="E405" s="12"/>
      <c r="F405" s="12"/>
    </row>
    <row r="406">
      <c r="A406" s="12"/>
      <c r="B406" s="135"/>
      <c r="C406" s="136"/>
      <c r="D406" s="137"/>
      <c r="E406" s="12"/>
      <c r="F406" s="12"/>
    </row>
    <row r="407">
      <c r="A407" s="12"/>
      <c r="B407" s="135"/>
      <c r="C407" s="136"/>
      <c r="D407" s="137"/>
      <c r="E407" s="12"/>
      <c r="F407" s="12"/>
    </row>
    <row r="408">
      <c r="A408" s="12"/>
      <c r="B408" s="135"/>
      <c r="C408" s="136"/>
      <c r="D408" s="137"/>
      <c r="E408" s="12"/>
      <c r="F408" s="12"/>
    </row>
    <row r="409">
      <c r="A409" s="12"/>
      <c r="B409" s="135"/>
      <c r="C409" s="136"/>
      <c r="D409" s="137"/>
      <c r="E409" s="12"/>
      <c r="F409" s="12"/>
    </row>
    <row r="410">
      <c r="A410" s="12"/>
      <c r="B410" s="135"/>
      <c r="C410" s="136"/>
      <c r="D410" s="137"/>
      <c r="E410" s="12"/>
      <c r="F410" s="12"/>
    </row>
    <row r="411">
      <c r="A411" s="12"/>
      <c r="B411" s="135"/>
      <c r="C411" s="136"/>
      <c r="D411" s="137"/>
      <c r="E411" s="12"/>
      <c r="F411" s="12"/>
    </row>
    <row r="412">
      <c r="A412" s="12"/>
      <c r="B412" s="135"/>
      <c r="C412" s="136"/>
      <c r="D412" s="137"/>
      <c r="E412" s="12"/>
      <c r="F412" s="12"/>
    </row>
    <row r="413">
      <c r="A413" s="12"/>
      <c r="B413" s="135"/>
      <c r="C413" s="136"/>
      <c r="D413" s="137"/>
      <c r="E413" s="12"/>
      <c r="F413" s="12"/>
    </row>
    <row r="414">
      <c r="A414" s="12"/>
      <c r="B414" s="135"/>
      <c r="C414" s="136"/>
      <c r="D414" s="137"/>
      <c r="E414" s="12"/>
      <c r="F414" s="12"/>
    </row>
    <row r="415">
      <c r="A415" s="12"/>
      <c r="B415" s="135"/>
      <c r="C415" s="136"/>
      <c r="D415" s="137"/>
      <c r="E415" s="12"/>
      <c r="F415" s="12"/>
    </row>
    <row r="416">
      <c r="A416" s="12"/>
      <c r="B416" s="135"/>
      <c r="C416" s="136"/>
      <c r="D416" s="137"/>
      <c r="E416" s="12"/>
      <c r="F416" s="12"/>
    </row>
    <row r="417">
      <c r="A417" s="12"/>
      <c r="B417" s="135"/>
      <c r="C417" s="136"/>
      <c r="D417" s="137"/>
      <c r="E417" s="12"/>
      <c r="F417" s="12"/>
    </row>
    <row r="418">
      <c r="A418" s="12"/>
      <c r="B418" s="135"/>
      <c r="C418" s="136"/>
      <c r="D418" s="137"/>
      <c r="E418" s="12"/>
      <c r="F418" s="12"/>
    </row>
    <row r="419">
      <c r="A419" s="12"/>
      <c r="B419" s="135"/>
      <c r="C419" s="136"/>
      <c r="D419" s="137"/>
      <c r="E419" s="12"/>
      <c r="F419" s="12"/>
    </row>
    <row r="420">
      <c r="A420" s="12"/>
      <c r="B420" s="135"/>
      <c r="C420" s="136"/>
      <c r="D420" s="137"/>
      <c r="E420" s="12"/>
      <c r="F420" s="12"/>
    </row>
    <row r="421">
      <c r="A421" s="12"/>
      <c r="B421" s="135"/>
      <c r="C421" s="136"/>
      <c r="D421" s="137"/>
      <c r="E421" s="12"/>
      <c r="F421" s="12"/>
    </row>
    <row r="422">
      <c r="A422" s="12"/>
      <c r="B422" s="135"/>
      <c r="C422" s="136"/>
      <c r="D422" s="137"/>
      <c r="E422" s="12"/>
      <c r="F422" s="12"/>
    </row>
    <row r="423">
      <c r="A423" s="12"/>
      <c r="B423" s="135"/>
      <c r="C423" s="136"/>
      <c r="D423" s="137"/>
      <c r="E423" s="12"/>
      <c r="F423" s="12"/>
    </row>
    <row r="424">
      <c r="A424" s="12"/>
      <c r="B424" s="135"/>
      <c r="C424" s="136"/>
      <c r="D424" s="137"/>
      <c r="E424" s="12"/>
      <c r="F424" s="12"/>
    </row>
    <row r="425">
      <c r="A425" s="12"/>
      <c r="B425" s="135"/>
      <c r="C425" s="136"/>
      <c r="D425" s="137"/>
      <c r="E425" s="12"/>
      <c r="F425" s="12"/>
    </row>
    <row r="426">
      <c r="A426" s="12"/>
      <c r="B426" s="135"/>
      <c r="C426" s="136"/>
      <c r="D426" s="137"/>
      <c r="E426" s="12"/>
      <c r="F426" s="12"/>
    </row>
    <row r="427">
      <c r="A427" s="12"/>
      <c r="B427" s="135"/>
      <c r="C427" s="136"/>
      <c r="D427" s="137"/>
      <c r="E427" s="12"/>
      <c r="F427" s="12"/>
    </row>
    <row r="428">
      <c r="A428" s="12"/>
      <c r="B428" s="135"/>
      <c r="C428" s="136"/>
      <c r="D428" s="137"/>
      <c r="E428" s="12"/>
      <c r="F428" s="12"/>
    </row>
    <row r="429">
      <c r="A429" s="12"/>
      <c r="B429" s="135"/>
      <c r="C429" s="136"/>
      <c r="D429" s="137"/>
      <c r="E429" s="12"/>
      <c r="F429" s="12"/>
    </row>
    <row r="430">
      <c r="A430" s="12"/>
      <c r="B430" s="135"/>
      <c r="C430" s="136"/>
      <c r="D430" s="137"/>
      <c r="E430" s="12"/>
      <c r="F430" s="12"/>
    </row>
    <row r="431">
      <c r="A431" s="12"/>
      <c r="B431" s="135"/>
      <c r="C431" s="136"/>
      <c r="D431" s="137"/>
      <c r="E431" s="12"/>
      <c r="F431" s="12"/>
    </row>
    <row r="432">
      <c r="A432" s="12"/>
      <c r="B432" s="135"/>
      <c r="C432" s="136"/>
      <c r="D432" s="137"/>
      <c r="E432" s="12"/>
      <c r="F432" s="12"/>
    </row>
    <row r="433">
      <c r="A433" s="12"/>
      <c r="B433" s="135"/>
      <c r="C433" s="136"/>
      <c r="D433" s="137"/>
      <c r="E433" s="12"/>
      <c r="F433" s="12"/>
    </row>
    <row r="434">
      <c r="A434" s="12"/>
      <c r="B434" s="135"/>
      <c r="C434" s="136"/>
      <c r="D434" s="137"/>
      <c r="E434" s="12"/>
      <c r="F434" s="12"/>
    </row>
    <row r="435">
      <c r="A435" s="12"/>
      <c r="B435" s="135"/>
      <c r="C435" s="136"/>
      <c r="D435" s="137"/>
      <c r="E435" s="12"/>
      <c r="F435" s="12"/>
    </row>
    <row r="436">
      <c r="A436" s="12"/>
      <c r="B436" s="135"/>
      <c r="C436" s="136"/>
      <c r="D436" s="137"/>
      <c r="E436" s="12"/>
      <c r="F436" s="12"/>
    </row>
    <row r="437">
      <c r="A437" s="12"/>
      <c r="B437" s="135"/>
      <c r="C437" s="136"/>
      <c r="D437" s="137"/>
      <c r="E437" s="12"/>
      <c r="F437" s="12"/>
    </row>
    <row r="438">
      <c r="A438" s="12"/>
      <c r="B438" s="135"/>
      <c r="C438" s="136"/>
      <c r="D438" s="137"/>
      <c r="E438" s="12"/>
      <c r="F438" s="12"/>
    </row>
    <row r="439">
      <c r="A439" s="12"/>
      <c r="B439" s="135"/>
      <c r="C439" s="136"/>
      <c r="D439" s="137"/>
      <c r="E439" s="12"/>
      <c r="F439" s="12"/>
    </row>
    <row r="440">
      <c r="A440" s="12"/>
      <c r="B440" s="135"/>
      <c r="C440" s="136"/>
      <c r="D440" s="137"/>
      <c r="E440" s="12"/>
      <c r="F440" s="12"/>
    </row>
    <row r="441">
      <c r="A441" s="12"/>
      <c r="B441" s="135"/>
      <c r="C441" s="136"/>
      <c r="D441" s="137"/>
      <c r="E441" s="12"/>
      <c r="F441" s="12"/>
    </row>
    <row r="442">
      <c r="A442" s="12"/>
      <c r="B442" s="135"/>
      <c r="C442" s="136"/>
      <c r="D442" s="137"/>
      <c r="E442" s="12"/>
      <c r="F442" s="12"/>
    </row>
    <row r="443">
      <c r="A443" s="12"/>
      <c r="B443" s="135"/>
      <c r="C443" s="136"/>
      <c r="D443" s="137"/>
      <c r="E443" s="12"/>
      <c r="F443" s="12"/>
    </row>
    <row r="444">
      <c r="A444" s="12"/>
      <c r="B444" s="135"/>
      <c r="C444" s="136"/>
      <c r="D444" s="137"/>
      <c r="E444" s="12"/>
      <c r="F444" s="12"/>
    </row>
    <row r="445">
      <c r="A445" s="12"/>
      <c r="B445" s="135"/>
      <c r="C445" s="136"/>
      <c r="D445" s="137"/>
      <c r="E445" s="12"/>
      <c r="F445" s="12"/>
    </row>
    <row r="446">
      <c r="A446" s="12"/>
      <c r="B446" s="135"/>
      <c r="C446" s="136"/>
      <c r="D446" s="137"/>
      <c r="E446" s="12"/>
      <c r="F446" s="12"/>
    </row>
    <row r="447">
      <c r="A447" s="12"/>
      <c r="B447" s="135"/>
      <c r="C447" s="136"/>
      <c r="D447" s="137"/>
      <c r="E447" s="12"/>
      <c r="F447" s="12"/>
    </row>
    <row r="448">
      <c r="A448" s="12"/>
      <c r="B448" s="135"/>
      <c r="C448" s="136"/>
      <c r="D448" s="137"/>
      <c r="E448" s="12"/>
      <c r="F448" s="12"/>
    </row>
    <row r="449">
      <c r="A449" s="12"/>
      <c r="B449" s="135"/>
      <c r="C449" s="136"/>
      <c r="D449" s="137"/>
      <c r="E449" s="12"/>
      <c r="F449" s="12"/>
    </row>
    <row r="450">
      <c r="A450" s="12"/>
      <c r="B450" s="135"/>
      <c r="C450" s="136"/>
      <c r="D450" s="137"/>
      <c r="E450" s="12"/>
      <c r="F450" s="12"/>
    </row>
    <row r="451">
      <c r="A451" s="12"/>
      <c r="B451" s="135"/>
      <c r="C451" s="136"/>
      <c r="D451" s="137"/>
      <c r="E451" s="12"/>
      <c r="F451" s="12"/>
    </row>
    <row r="452">
      <c r="A452" s="12"/>
      <c r="B452" s="135"/>
      <c r="C452" s="136"/>
      <c r="D452" s="137"/>
      <c r="E452" s="12"/>
      <c r="F452" s="12"/>
    </row>
    <row r="453">
      <c r="A453" s="12"/>
      <c r="B453" s="135"/>
      <c r="C453" s="136"/>
      <c r="D453" s="137"/>
      <c r="E453" s="12"/>
      <c r="F453" s="12"/>
    </row>
    <row r="454">
      <c r="A454" s="12"/>
      <c r="B454" s="135"/>
      <c r="C454" s="136"/>
      <c r="D454" s="137"/>
      <c r="E454" s="12"/>
      <c r="F454" s="12"/>
    </row>
    <row r="455">
      <c r="A455" s="12"/>
      <c r="B455" s="135"/>
      <c r="C455" s="136"/>
      <c r="D455" s="137"/>
      <c r="E455" s="12"/>
      <c r="F455" s="12"/>
    </row>
    <row r="456">
      <c r="A456" s="12"/>
      <c r="B456" s="135"/>
      <c r="C456" s="136"/>
      <c r="D456" s="137"/>
      <c r="E456" s="12"/>
      <c r="F456" s="12"/>
    </row>
    <row r="457">
      <c r="A457" s="12"/>
      <c r="B457" s="135"/>
      <c r="C457" s="136"/>
      <c r="D457" s="137"/>
      <c r="E457" s="12"/>
      <c r="F457" s="12"/>
    </row>
    <row r="458">
      <c r="A458" s="12"/>
      <c r="B458" s="135"/>
      <c r="C458" s="136"/>
      <c r="D458" s="137"/>
      <c r="E458" s="12"/>
      <c r="F458" s="12"/>
    </row>
    <row r="459">
      <c r="A459" s="12"/>
      <c r="B459" s="135"/>
      <c r="C459" s="136"/>
      <c r="D459" s="137"/>
      <c r="E459" s="12"/>
      <c r="F459" s="12"/>
    </row>
    <row r="460">
      <c r="A460" s="12"/>
      <c r="B460" s="135"/>
      <c r="C460" s="136"/>
      <c r="D460" s="137"/>
      <c r="E460" s="12"/>
      <c r="F460" s="12"/>
    </row>
    <row r="461">
      <c r="A461" s="12"/>
      <c r="B461" s="135"/>
      <c r="C461" s="136"/>
      <c r="D461" s="137"/>
      <c r="E461" s="12"/>
      <c r="F461" s="12"/>
    </row>
    <row r="462">
      <c r="A462" s="12"/>
      <c r="B462" s="135"/>
      <c r="C462" s="136"/>
      <c r="D462" s="137"/>
      <c r="E462" s="12"/>
      <c r="F462" s="12"/>
    </row>
    <row r="463">
      <c r="A463" s="12"/>
      <c r="B463" s="135"/>
      <c r="C463" s="136"/>
      <c r="D463" s="137"/>
      <c r="E463" s="12"/>
      <c r="F463" s="12"/>
    </row>
    <row r="464">
      <c r="A464" s="12"/>
      <c r="B464" s="135"/>
      <c r="C464" s="136"/>
      <c r="D464" s="137"/>
      <c r="E464" s="12"/>
      <c r="F464" s="12"/>
    </row>
    <row r="465">
      <c r="A465" s="12"/>
      <c r="B465" s="135"/>
      <c r="C465" s="136"/>
      <c r="D465" s="137"/>
      <c r="E465" s="12"/>
      <c r="F465" s="12"/>
    </row>
    <row r="466">
      <c r="A466" s="12"/>
      <c r="B466" s="135"/>
      <c r="C466" s="136"/>
      <c r="D466" s="137"/>
      <c r="E466" s="12"/>
      <c r="F466" s="12"/>
    </row>
    <row r="467">
      <c r="A467" s="12"/>
      <c r="B467" s="135"/>
      <c r="C467" s="136"/>
      <c r="D467" s="137"/>
      <c r="E467" s="12"/>
      <c r="F467" s="12"/>
    </row>
    <row r="468">
      <c r="A468" s="12"/>
      <c r="B468" s="135"/>
      <c r="C468" s="136"/>
      <c r="D468" s="137"/>
      <c r="E468" s="12"/>
      <c r="F468" s="12"/>
    </row>
    <row r="469">
      <c r="A469" s="12"/>
      <c r="B469" s="135"/>
      <c r="C469" s="136"/>
      <c r="D469" s="137"/>
      <c r="E469" s="12"/>
      <c r="F469" s="12"/>
    </row>
    <row r="470">
      <c r="A470" s="12"/>
      <c r="B470" s="135"/>
      <c r="C470" s="136"/>
      <c r="D470" s="137"/>
      <c r="E470" s="12"/>
      <c r="F470" s="12"/>
    </row>
    <row r="471">
      <c r="A471" s="12"/>
      <c r="B471" s="135"/>
      <c r="C471" s="136"/>
      <c r="D471" s="137"/>
      <c r="E471" s="12"/>
      <c r="F471" s="12"/>
    </row>
    <row r="472">
      <c r="A472" s="12"/>
      <c r="B472" s="135"/>
      <c r="C472" s="136"/>
      <c r="D472" s="137"/>
      <c r="E472" s="12"/>
      <c r="F472" s="12"/>
    </row>
    <row r="473">
      <c r="A473" s="12"/>
      <c r="B473" s="135"/>
      <c r="C473" s="136"/>
      <c r="D473" s="137"/>
      <c r="E473" s="12"/>
      <c r="F473" s="12"/>
    </row>
    <row r="474">
      <c r="A474" s="12"/>
      <c r="B474" s="135"/>
      <c r="C474" s="136"/>
      <c r="D474" s="137"/>
      <c r="E474" s="12"/>
      <c r="F474" s="12"/>
    </row>
    <row r="475">
      <c r="A475" s="12"/>
      <c r="B475" s="135"/>
      <c r="C475" s="136"/>
      <c r="D475" s="137"/>
      <c r="E475" s="12"/>
      <c r="F475" s="12"/>
    </row>
    <row r="476">
      <c r="A476" s="12"/>
      <c r="B476" s="135"/>
      <c r="C476" s="136"/>
      <c r="D476" s="137"/>
      <c r="E476" s="12"/>
      <c r="F476" s="12"/>
    </row>
    <row r="477">
      <c r="A477" s="12"/>
      <c r="B477" s="135"/>
      <c r="C477" s="136"/>
      <c r="D477" s="137"/>
      <c r="E477" s="12"/>
      <c r="F477" s="12"/>
    </row>
    <row r="478">
      <c r="A478" s="12"/>
      <c r="B478" s="135"/>
      <c r="C478" s="136"/>
      <c r="D478" s="137"/>
      <c r="E478" s="12"/>
      <c r="F478" s="12"/>
    </row>
    <row r="479">
      <c r="A479" s="12"/>
      <c r="B479" s="135"/>
      <c r="C479" s="136"/>
      <c r="D479" s="137"/>
      <c r="E479" s="12"/>
      <c r="F479" s="12"/>
    </row>
    <row r="480">
      <c r="A480" s="12"/>
      <c r="B480" s="135"/>
      <c r="C480" s="136"/>
      <c r="D480" s="137"/>
      <c r="E480" s="12"/>
      <c r="F480" s="12"/>
    </row>
    <row r="481">
      <c r="A481" s="12"/>
      <c r="B481" s="135"/>
      <c r="C481" s="136"/>
      <c r="D481" s="137"/>
      <c r="E481" s="12"/>
      <c r="F481" s="12"/>
    </row>
    <row r="482">
      <c r="A482" s="12"/>
      <c r="B482" s="135"/>
      <c r="C482" s="136"/>
      <c r="D482" s="137"/>
      <c r="E482" s="12"/>
      <c r="F482" s="12"/>
    </row>
    <row r="483">
      <c r="A483" s="12"/>
      <c r="B483" s="135"/>
      <c r="C483" s="136"/>
      <c r="D483" s="137"/>
      <c r="E483" s="12"/>
      <c r="F483" s="12"/>
    </row>
    <row r="484">
      <c r="A484" s="12"/>
      <c r="B484" s="135"/>
      <c r="C484" s="136"/>
      <c r="D484" s="137"/>
      <c r="E484" s="12"/>
      <c r="F484" s="12"/>
    </row>
    <row r="485">
      <c r="A485" s="12"/>
      <c r="B485" s="135"/>
      <c r="C485" s="136"/>
      <c r="D485" s="137"/>
      <c r="E485" s="12"/>
      <c r="F485" s="12"/>
    </row>
    <row r="486">
      <c r="A486" s="12"/>
      <c r="B486" s="135"/>
      <c r="C486" s="136"/>
      <c r="D486" s="137"/>
      <c r="E486" s="12"/>
      <c r="F486" s="12"/>
    </row>
    <row r="487">
      <c r="A487" s="12"/>
      <c r="B487" s="135"/>
      <c r="C487" s="136"/>
      <c r="D487" s="137"/>
      <c r="E487" s="12"/>
      <c r="F487" s="12"/>
    </row>
    <row r="488">
      <c r="A488" s="12"/>
      <c r="B488" s="135"/>
      <c r="C488" s="136"/>
      <c r="D488" s="137"/>
      <c r="E488" s="12"/>
      <c r="F488" s="12"/>
    </row>
    <row r="489">
      <c r="A489" s="12"/>
      <c r="B489" s="135"/>
      <c r="C489" s="136"/>
      <c r="D489" s="137"/>
      <c r="E489" s="12"/>
      <c r="F489" s="12"/>
    </row>
    <row r="490">
      <c r="A490" s="12"/>
      <c r="B490" s="135"/>
      <c r="C490" s="136"/>
      <c r="D490" s="137"/>
      <c r="E490" s="12"/>
      <c r="F490" s="12"/>
    </row>
    <row r="491">
      <c r="A491" s="12"/>
      <c r="B491" s="135"/>
      <c r="C491" s="136"/>
      <c r="D491" s="137"/>
      <c r="E491" s="12"/>
      <c r="F491" s="12"/>
    </row>
    <row r="492">
      <c r="A492" s="12"/>
      <c r="B492" s="135"/>
      <c r="C492" s="136"/>
      <c r="D492" s="137"/>
      <c r="E492" s="12"/>
      <c r="F492" s="12"/>
    </row>
    <row r="493">
      <c r="A493" s="12"/>
      <c r="B493" s="135"/>
      <c r="C493" s="136"/>
      <c r="D493" s="137"/>
      <c r="E493" s="12"/>
      <c r="F493" s="12"/>
    </row>
    <row r="494">
      <c r="A494" s="12"/>
      <c r="B494" s="135"/>
      <c r="C494" s="136"/>
      <c r="D494" s="137"/>
      <c r="E494" s="12"/>
      <c r="F494" s="12"/>
    </row>
    <row r="495">
      <c r="A495" s="12"/>
      <c r="B495" s="135"/>
      <c r="C495" s="136"/>
      <c r="D495" s="137"/>
      <c r="E495" s="12"/>
      <c r="F495" s="12"/>
    </row>
    <row r="496">
      <c r="A496" s="12"/>
      <c r="B496" s="135"/>
      <c r="C496" s="136"/>
      <c r="D496" s="137"/>
      <c r="E496" s="12"/>
      <c r="F496" s="12"/>
    </row>
    <row r="497">
      <c r="A497" s="12"/>
      <c r="B497" s="135"/>
      <c r="C497" s="136"/>
      <c r="D497" s="137"/>
      <c r="E497" s="12"/>
      <c r="F497" s="12"/>
    </row>
    <row r="498">
      <c r="A498" s="12"/>
      <c r="B498" s="135"/>
      <c r="C498" s="136"/>
      <c r="D498" s="137"/>
      <c r="E498" s="12"/>
      <c r="F498" s="12"/>
    </row>
    <row r="499">
      <c r="A499" s="12"/>
      <c r="B499" s="135"/>
      <c r="C499" s="136"/>
      <c r="D499" s="137"/>
      <c r="E499" s="12"/>
      <c r="F499" s="12"/>
    </row>
    <row r="500">
      <c r="A500" s="12"/>
      <c r="B500" s="135"/>
      <c r="C500" s="136"/>
      <c r="D500" s="137"/>
      <c r="E500" s="12"/>
      <c r="F500" s="12"/>
    </row>
    <row r="501">
      <c r="A501" s="12"/>
      <c r="B501" s="135"/>
      <c r="C501" s="136"/>
      <c r="D501" s="137"/>
      <c r="E501" s="12"/>
      <c r="F501" s="12"/>
    </row>
    <row r="502">
      <c r="A502" s="12"/>
      <c r="B502" s="135"/>
      <c r="C502" s="136"/>
      <c r="D502" s="137"/>
      <c r="E502" s="12"/>
      <c r="F502" s="12"/>
    </row>
    <row r="503">
      <c r="A503" s="12"/>
      <c r="B503" s="135"/>
      <c r="C503" s="136"/>
      <c r="D503" s="137"/>
      <c r="E503" s="12"/>
      <c r="F503" s="12"/>
    </row>
    <row r="504">
      <c r="A504" s="12"/>
      <c r="B504" s="135"/>
      <c r="C504" s="136"/>
      <c r="D504" s="137"/>
      <c r="E504" s="12"/>
      <c r="F504" s="12"/>
    </row>
    <row r="505">
      <c r="A505" s="12"/>
      <c r="B505" s="135"/>
      <c r="C505" s="136"/>
      <c r="D505" s="137"/>
      <c r="E505" s="12"/>
      <c r="F505" s="12"/>
    </row>
    <row r="506">
      <c r="A506" s="12"/>
      <c r="B506" s="135"/>
      <c r="C506" s="136"/>
      <c r="D506" s="137"/>
      <c r="E506" s="12"/>
      <c r="F506" s="12"/>
    </row>
    <row r="507">
      <c r="A507" s="12"/>
      <c r="B507" s="135"/>
      <c r="C507" s="136"/>
      <c r="D507" s="137"/>
      <c r="E507" s="12"/>
      <c r="F507" s="12"/>
    </row>
    <row r="508">
      <c r="A508" s="12"/>
      <c r="B508" s="135"/>
      <c r="C508" s="136"/>
      <c r="D508" s="137"/>
      <c r="E508" s="12"/>
      <c r="F508" s="12"/>
    </row>
    <row r="509">
      <c r="A509" s="12"/>
      <c r="B509" s="135"/>
      <c r="C509" s="136"/>
      <c r="D509" s="137"/>
      <c r="E509" s="12"/>
      <c r="F509" s="12"/>
    </row>
    <row r="510">
      <c r="A510" s="12"/>
      <c r="B510" s="135"/>
      <c r="C510" s="136"/>
      <c r="D510" s="137"/>
      <c r="E510" s="12"/>
      <c r="F510" s="12"/>
    </row>
    <row r="511">
      <c r="A511" s="12"/>
      <c r="B511" s="135"/>
      <c r="C511" s="136"/>
      <c r="D511" s="137"/>
      <c r="E511" s="12"/>
      <c r="F511" s="12"/>
    </row>
    <row r="512">
      <c r="A512" s="12"/>
      <c r="B512" s="135"/>
      <c r="C512" s="136"/>
      <c r="D512" s="137"/>
      <c r="E512" s="12"/>
      <c r="F512" s="12"/>
    </row>
    <row r="513">
      <c r="A513" s="12"/>
      <c r="B513" s="135"/>
      <c r="C513" s="136"/>
      <c r="D513" s="137"/>
      <c r="E513" s="12"/>
      <c r="F513" s="12"/>
    </row>
    <row r="514">
      <c r="A514" s="12"/>
      <c r="B514" s="135"/>
      <c r="C514" s="136"/>
      <c r="D514" s="137"/>
      <c r="E514" s="12"/>
      <c r="F514" s="12"/>
    </row>
    <row r="515">
      <c r="A515" s="12"/>
      <c r="B515" s="135"/>
      <c r="C515" s="136"/>
      <c r="D515" s="137"/>
      <c r="E515" s="12"/>
      <c r="F515" s="12"/>
    </row>
    <row r="516">
      <c r="A516" s="12"/>
      <c r="B516" s="135"/>
      <c r="C516" s="136"/>
      <c r="D516" s="137"/>
      <c r="E516" s="12"/>
      <c r="F516" s="12"/>
    </row>
    <row r="517">
      <c r="A517" s="12"/>
      <c r="B517" s="135"/>
      <c r="C517" s="136"/>
      <c r="D517" s="137"/>
      <c r="E517" s="12"/>
      <c r="F517" s="12"/>
    </row>
    <row r="518">
      <c r="A518" s="12"/>
      <c r="B518" s="135"/>
      <c r="C518" s="136"/>
      <c r="D518" s="137"/>
      <c r="E518" s="12"/>
      <c r="F518" s="12"/>
    </row>
    <row r="519">
      <c r="A519" s="12"/>
      <c r="B519" s="135"/>
      <c r="C519" s="136"/>
      <c r="D519" s="137"/>
      <c r="E519" s="12"/>
      <c r="F519" s="12"/>
    </row>
    <row r="520">
      <c r="A520" s="12"/>
      <c r="B520" s="135"/>
      <c r="C520" s="136"/>
      <c r="D520" s="137"/>
      <c r="E520" s="12"/>
      <c r="F520" s="12"/>
    </row>
    <row r="521">
      <c r="A521" s="12"/>
      <c r="B521" s="135"/>
      <c r="C521" s="136"/>
      <c r="D521" s="137"/>
      <c r="E521" s="12"/>
      <c r="F521" s="12"/>
    </row>
    <row r="522">
      <c r="A522" s="12"/>
      <c r="B522" s="135"/>
      <c r="C522" s="136"/>
      <c r="D522" s="137"/>
      <c r="E522" s="12"/>
      <c r="F522" s="12"/>
    </row>
    <row r="523">
      <c r="A523" s="12"/>
      <c r="B523" s="135"/>
      <c r="C523" s="136"/>
      <c r="D523" s="137"/>
      <c r="E523" s="12"/>
      <c r="F523" s="12"/>
    </row>
    <row r="524">
      <c r="A524" s="12"/>
      <c r="B524" s="135"/>
      <c r="C524" s="136"/>
      <c r="D524" s="137"/>
      <c r="E524" s="12"/>
      <c r="F524" s="12"/>
    </row>
    <row r="525">
      <c r="A525" s="12"/>
      <c r="B525" s="135"/>
      <c r="C525" s="136"/>
      <c r="D525" s="137"/>
      <c r="E525" s="12"/>
      <c r="F525" s="12"/>
    </row>
    <row r="526">
      <c r="A526" s="12"/>
      <c r="B526" s="135"/>
      <c r="C526" s="136"/>
      <c r="D526" s="137"/>
      <c r="E526" s="12"/>
      <c r="F526" s="12"/>
    </row>
    <row r="527">
      <c r="A527" s="12"/>
      <c r="B527" s="135"/>
      <c r="C527" s="136"/>
      <c r="D527" s="137"/>
      <c r="E527" s="12"/>
      <c r="F527" s="12"/>
    </row>
    <row r="528">
      <c r="A528" s="12"/>
      <c r="B528" s="135"/>
      <c r="C528" s="136"/>
      <c r="D528" s="137"/>
      <c r="E528" s="12"/>
      <c r="F528" s="12"/>
    </row>
    <row r="529">
      <c r="A529" s="12"/>
      <c r="B529" s="135"/>
      <c r="C529" s="136"/>
      <c r="D529" s="137"/>
      <c r="E529" s="12"/>
      <c r="F529" s="12"/>
    </row>
    <row r="530">
      <c r="A530" s="12"/>
      <c r="B530" s="135"/>
      <c r="C530" s="136"/>
      <c r="D530" s="137"/>
      <c r="E530" s="12"/>
      <c r="F530" s="12"/>
    </row>
    <row r="531">
      <c r="A531" s="12"/>
      <c r="B531" s="135"/>
      <c r="C531" s="136"/>
      <c r="D531" s="137"/>
      <c r="E531" s="12"/>
      <c r="F531" s="12"/>
    </row>
    <row r="532">
      <c r="A532" s="12"/>
      <c r="B532" s="135"/>
      <c r="C532" s="136"/>
      <c r="D532" s="137"/>
      <c r="E532" s="12"/>
      <c r="F532" s="12"/>
    </row>
    <row r="533">
      <c r="A533" s="12"/>
      <c r="B533" s="135"/>
      <c r="C533" s="136"/>
      <c r="D533" s="137"/>
      <c r="E533" s="12"/>
      <c r="F533" s="12"/>
    </row>
    <row r="534">
      <c r="A534" s="12"/>
      <c r="B534" s="135"/>
      <c r="C534" s="136"/>
      <c r="D534" s="137"/>
      <c r="E534" s="12"/>
      <c r="F534" s="12"/>
    </row>
    <row r="535">
      <c r="A535" s="12"/>
      <c r="B535" s="135"/>
      <c r="C535" s="136"/>
      <c r="D535" s="137"/>
      <c r="E535" s="12"/>
      <c r="F535" s="12"/>
    </row>
    <row r="536">
      <c r="A536" s="12"/>
      <c r="B536" s="135"/>
      <c r="C536" s="136"/>
      <c r="D536" s="137"/>
      <c r="E536" s="12"/>
      <c r="F536" s="12"/>
    </row>
    <row r="537">
      <c r="A537" s="12"/>
      <c r="B537" s="135"/>
      <c r="C537" s="136"/>
      <c r="D537" s="137"/>
      <c r="E537" s="12"/>
      <c r="F537" s="12"/>
    </row>
    <row r="538">
      <c r="A538" s="12"/>
      <c r="B538" s="135"/>
      <c r="C538" s="136"/>
      <c r="D538" s="137"/>
      <c r="E538" s="12"/>
      <c r="F538" s="12"/>
    </row>
    <row r="539">
      <c r="A539" s="12"/>
      <c r="B539" s="135"/>
      <c r="C539" s="136"/>
      <c r="D539" s="137"/>
      <c r="E539" s="12"/>
      <c r="F539" s="12"/>
    </row>
    <row r="540">
      <c r="A540" s="12"/>
      <c r="B540" s="135"/>
      <c r="C540" s="136"/>
      <c r="D540" s="137"/>
      <c r="E540" s="12"/>
      <c r="F540" s="12"/>
    </row>
    <row r="541">
      <c r="A541" s="12"/>
      <c r="B541" s="135"/>
      <c r="C541" s="136"/>
      <c r="D541" s="137"/>
      <c r="E541" s="12"/>
      <c r="F541" s="12"/>
    </row>
    <row r="542">
      <c r="A542" s="12"/>
      <c r="B542" s="135"/>
      <c r="C542" s="136"/>
      <c r="D542" s="137"/>
      <c r="E542" s="12"/>
      <c r="F542" s="12"/>
    </row>
    <row r="543">
      <c r="A543" s="12"/>
      <c r="B543" s="135"/>
      <c r="C543" s="136"/>
      <c r="D543" s="137"/>
      <c r="E543" s="12"/>
      <c r="F543" s="12"/>
    </row>
    <row r="544">
      <c r="A544" s="12"/>
      <c r="B544" s="135"/>
      <c r="C544" s="136"/>
      <c r="D544" s="137"/>
      <c r="E544" s="12"/>
      <c r="F544" s="12"/>
    </row>
    <row r="545">
      <c r="A545" s="12"/>
      <c r="B545" s="135"/>
      <c r="C545" s="136"/>
      <c r="D545" s="137"/>
      <c r="E545" s="12"/>
      <c r="F545" s="12"/>
    </row>
    <row r="546">
      <c r="A546" s="12"/>
      <c r="B546" s="135"/>
      <c r="C546" s="136"/>
      <c r="D546" s="137"/>
      <c r="E546" s="12"/>
      <c r="F546" s="12"/>
    </row>
    <row r="547">
      <c r="A547" s="12"/>
      <c r="B547" s="135"/>
      <c r="C547" s="136"/>
      <c r="D547" s="137"/>
      <c r="E547" s="12"/>
      <c r="F547" s="12"/>
    </row>
    <row r="548">
      <c r="A548" s="12"/>
      <c r="B548" s="135"/>
      <c r="C548" s="136"/>
      <c r="D548" s="137"/>
      <c r="E548" s="12"/>
      <c r="F548" s="12"/>
    </row>
    <row r="549">
      <c r="A549" s="12"/>
      <c r="B549" s="135"/>
      <c r="C549" s="136"/>
      <c r="D549" s="137"/>
      <c r="E549" s="12"/>
      <c r="F549" s="12"/>
    </row>
    <row r="550">
      <c r="A550" s="12"/>
      <c r="B550" s="135"/>
      <c r="C550" s="136"/>
      <c r="D550" s="137"/>
      <c r="E550" s="12"/>
      <c r="F550" s="12"/>
    </row>
    <row r="551">
      <c r="A551" s="12"/>
      <c r="B551" s="135"/>
      <c r="C551" s="136"/>
      <c r="D551" s="137"/>
      <c r="E551" s="12"/>
      <c r="F551" s="12"/>
    </row>
    <row r="552">
      <c r="A552" s="12"/>
      <c r="B552" s="135"/>
      <c r="C552" s="136"/>
      <c r="D552" s="137"/>
      <c r="E552" s="12"/>
      <c r="F552" s="12"/>
    </row>
    <row r="553">
      <c r="A553" s="12"/>
      <c r="B553" s="135"/>
      <c r="C553" s="136"/>
      <c r="D553" s="137"/>
      <c r="E553" s="12"/>
      <c r="F553" s="12"/>
    </row>
    <row r="554">
      <c r="A554" s="12"/>
      <c r="B554" s="135"/>
      <c r="C554" s="136"/>
      <c r="D554" s="137"/>
      <c r="E554" s="12"/>
      <c r="F554" s="12"/>
    </row>
    <row r="555">
      <c r="A555" s="12"/>
      <c r="B555" s="135"/>
      <c r="C555" s="136"/>
      <c r="D555" s="137"/>
      <c r="E555" s="12"/>
      <c r="F555" s="12"/>
    </row>
    <row r="556">
      <c r="A556" s="12"/>
      <c r="B556" s="135"/>
      <c r="C556" s="136"/>
      <c r="D556" s="137"/>
      <c r="E556" s="12"/>
      <c r="F556" s="12"/>
    </row>
    <row r="557">
      <c r="A557" s="12"/>
      <c r="B557" s="135"/>
      <c r="C557" s="136"/>
      <c r="D557" s="137"/>
      <c r="E557" s="12"/>
      <c r="F557" s="12"/>
    </row>
    <row r="558">
      <c r="A558" s="12"/>
      <c r="B558" s="135"/>
      <c r="C558" s="136"/>
      <c r="D558" s="137"/>
      <c r="E558" s="12"/>
      <c r="F558" s="12"/>
    </row>
    <row r="559">
      <c r="A559" s="12"/>
      <c r="B559" s="135"/>
      <c r="C559" s="136"/>
      <c r="D559" s="137"/>
      <c r="E559" s="12"/>
      <c r="F559" s="12"/>
    </row>
    <row r="560">
      <c r="A560" s="12"/>
      <c r="B560" s="135"/>
      <c r="C560" s="136"/>
      <c r="D560" s="137"/>
      <c r="E560" s="12"/>
      <c r="F560" s="12"/>
    </row>
    <row r="561">
      <c r="A561" s="12"/>
      <c r="B561" s="135"/>
      <c r="C561" s="136"/>
      <c r="D561" s="137"/>
      <c r="E561" s="12"/>
      <c r="F561" s="12"/>
    </row>
    <row r="562">
      <c r="A562" s="12"/>
      <c r="B562" s="135"/>
      <c r="C562" s="136"/>
      <c r="D562" s="137"/>
      <c r="E562" s="12"/>
      <c r="F562" s="12"/>
    </row>
    <row r="563">
      <c r="A563" s="12"/>
      <c r="B563" s="135"/>
      <c r="C563" s="136"/>
      <c r="D563" s="137"/>
      <c r="E563" s="12"/>
      <c r="F563" s="12"/>
    </row>
    <row r="564">
      <c r="A564" s="12"/>
      <c r="B564" s="135"/>
      <c r="C564" s="136"/>
      <c r="D564" s="137"/>
      <c r="E564" s="12"/>
      <c r="F564" s="12"/>
    </row>
    <row r="565">
      <c r="A565" s="12"/>
      <c r="B565" s="135"/>
      <c r="C565" s="136"/>
      <c r="D565" s="137"/>
      <c r="E565" s="12"/>
      <c r="F565" s="12"/>
    </row>
    <row r="566">
      <c r="A566" s="12"/>
      <c r="B566" s="135"/>
      <c r="C566" s="136"/>
      <c r="D566" s="137"/>
      <c r="E566" s="12"/>
      <c r="F566" s="12"/>
    </row>
    <row r="567">
      <c r="A567" s="12"/>
      <c r="B567" s="135"/>
      <c r="C567" s="136"/>
      <c r="D567" s="137"/>
      <c r="E567" s="12"/>
      <c r="F567" s="12"/>
    </row>
    <row r="568">
      <c r="A568" s="12"/>
      <c r="B568" s="135"/>
      <c r="C568" s="136"/>
      <c r="D568" s="137"/>
      <c r="E568" s="12"/>
      <c r="F568" s="12"/>
    </row>
    <row r="569">
      <c r="A569" s="12"/>
      <c r="B569" s="135"/>
      <c r="C569" s="136"/>
      <c r="D569" s="137"/>
      <c r="E569" s="12"/>
      <c r="F569" s="12"/>
    </row>
    <row r="570">
      <c r="A570" s="12"/>
      <c r="B570" s="135"/>
      <c r="C570" s="136"/>
      <c r="D570" s="137"/>
      <c r="E570" s="12"/>
      <c r="F570" s="12"/>
    </row>
    <row r="571">
      <c r="A571" s="12"/>
      <c r="B571" s="135"/>
      <c r="C571" s="136"/>
      <c r="D571" s="137"/>
      <c r="E571" s="12"/>
      <c r="F571" s="12"/>
    </row>
    <row r="572">
      <c r="A572" s="12"/>
      <c r="B572" s="135"/>
      <c r="C572" s="136"/>
      <c r="D572" s="137"/>
      <c r="E572" s="12"/>
      <c r="F572" s="12"/>
    </row>
    <row r="573">
      <c r="A573" s="12"/>
      <c r="B573" s="135"/>
      <c r="C573" s="136"/>
      <c r="D573" s="137"/>
      <c r="E573" s="12"/>
      <c r="F573" s="12"/>
    </row>
    <row r="574">
      <c r="A574" s="12"/>
      <c r="B574" s="135"/>
      <c r="C574" s="136"/>
      <c r="D574" s="137"/>
      <c r="E574" s="12"/>
      <c r="F574" s="12"/>
    </row>
    <row r="575">
      <c r="A575" s="12"/>
      <c r="B575" s="135"/>
      <c r="C575" s="136"/>
      <c r="D575" s="137"/>
      <c r="E575" s="12"/>
      <c r="F575" s="12"/>
    </row>
    <row r="576">
      <c r="A576" s="12"/>
      <c r="B576" s="135"/>
      <c r="C576" s="136"/>
      <c r="D576" s="137"/>
      <c r="E576" s="12"/>
      <c r="F576" s="12"/>
    </row>
    <row r="577">
      <c r="A577" s="12"/>
      <c r="B577" s="135"/>
      <c r="C577" s="136"/>
      <c r="D577" s="137"/>
      <c r="E577" s="12"/>
      <c r="F577" s="12"/>
    </row>
    <row r="578">
      <c r="A578" s="12"/>
      <c r="B578" s="135"/>
      <c r="C578" s="136"/>
      <c r="D578" s="137"/>
      <c r="E578" s="12"/>
      <c r="F578" s="12"/>
    </row>
    <row r="579">
      <c r="A579" s="12"/>
      <c r="B579" s="135"/>
      <c r="C579" s="136"/>
      <c r="D579" s="137"/>
      <c r="E579" s="12"/>
      <c r="F579" s="12"/>
    </row>
    <row r="580">
      <c r="A580" s="12"/>
      <c r="B580" s="135"/>
      <c r="C580" s="136"/>
      <c r="D580" s="137"/>
      <c r="E580" s="12"/>
      <c r="F580" s="12"/>
    </row>
    <row r="581">
      <c r="A581" s="12"/>
      <c r="B581" s="135"/>
      <c r="C581" s="136"/>
      <c r="D581" s="137"/>
      <c r="E581" s="12"/>
      <c r="F581" s="12"/>
    </row>
    <row r="582">
      <c r="A582" s="12"/>
      <c r="B582" s="135"/>
      <c r="C582" s="136"/>
      <c r="D582" s="137"/>
      <c r="E582" s="12"/>
      <c r="F582" s="12"/>
    </row>
    <row r="583">
      <c r="A583" s="12"/>
      <c r="B583" s="135"/>
      <c r="C583" s="136"/>
      <c r="D583" s="137"/>
      <c r="E583" s="12"/>
      <c r="F583" s="12"/>
    </row>
    <row r="584">
      <c r="A584" s="12"/>
      <c r="B584" s="135"/>
      <c r="C584" s="136"/>
      <c r="D584" s="137"/>
      <c r="E584" s="12"/>
      <c r="F584" s="12"/>
    </row>
    <row r="585">
      <c r="A585" s="12"/>
      <c r="B585" s="135"/>
      <c r="C585" s="136"/>
      <c r="D585" s="137"/>
      <c r="E585" s="12"/>
      <c r="F585" s="12"/>
    </row>
    <row r="586">
      <c r="A586" s="12"/>
      <c r="B586" s="135"/>
      <c r="C586" s="136"/>
      <c r="D586" s="137"/>
      <c r="E586" s="12"/>
      <c r="F586" s="12"/>
    </row>
    <row r="587">
      <c r="A587" s="12"/>
      <c r="B587" s="135"/>
      <c r="C587" s="136"/>
      <c r="D587" s="137"/>
      <c r="E587" s="12"/>
      <c r="F587" s="12"/>
    </row>
    <row r="588">
      <c r="A588" s="12"/>
      <c r="B588" s="135"/>
      <c r="C588" s="136"/>
      <c r="D588" s="137"/>
      <c r="E588" s="12"/>
      <c r="F588" s="12"/>
    </row>
    <row r="589">
      <c r="A589" s="12"/>
      <c r="B589" s="135"/>
      <c r="C589" s="136"/>
      <c r="D589" s="137"/>
      <c r="E589" s="12"/>
      <c r="F589" s="12"/>
    </row>
    <row r="590">
      <c r="A590" s="12"/>
      <c r="B590" s="135"/>
      <c r="C590" s="136"/>
      <c r="D590" s="137"/>
      <c r="E590" s="12"/>
      <c r="F590" s="12"/>
    </row>
    <row r="591">
      <c r="A591" s="12"/>
      <c r="B591" s="135"/>
      <c r="C591" s="136"/>
      <c r="D591" s="137"/>
      <c r="E591" s="12"/>
      <c r="F591" s="12"/>
    </row>
    <row r="592">
      <c r="A592" s="12"/>
      <c r="B592" s="135"/>
      <c r="C592" s="136"/>
      <c r="D592" s="137"/>
      <c r="E592" s="12"/>
      <c r="F592" s="12"/>
    </row>
    <row r="593">
      <c r="A593" s="12"/>
      <c r="B593" s="135"/>
      <c r="C593" s="136"/>
      <c r="D593" s="137"/>
      <c r="E593" s="12"/>
      <c r="F593" s="12"/>
    </row>
    <row r="594">
      <c r="A594" s="12"/>
      <c r="B594" s="135"/>
      <c r="C594" s="136"/>
      <c r="D594" s="137"/>
      <c r="E594" s="12"/>
      <c r="F594" s="12"/>
    </row>
    <row r="595">
      <c r="A595" s="12"/>
      <c r="B595" s="135"/>
      <c r="C595" s="136"/>
      <c r="D595" s="137"/>
      <c r="E595" s="12"/>
      <c r="F595" s="12"/>
    </row>
    <row r="596">
      <c r="A596" s="12"/>
      <c r="B596" s="135"/>
      <c r="C596" s="136"/>
      <c r="D596" s="137"/>
      <c r="E596" s="12"/>
      <c r="F596" s="12"/>
    </row>
    <row r="597">
      <c r="A597" s="12"/>
      <c r="B597" s="135"/>
      <c r="C597" s="136"/>
      <c r="D597" s="137"/>
      <c r="E597" s="12"/>
      <c r="F597" s="12"/>
    </row>
    <row r="598">
      <c r="A598" s="12"/>
      <c r="B598" s="135"/>
      <c r="C598" s="136"/>
      <c r="D598" s="137"/>
      <c r="E598" s="12"/>
      <c r="F598" s="12"/>
    </row>
    <row r="599">
      <c r="A599" s="12"/>
      <c r="B599" s="135"/>
      <c r="C599" s="136"/>
      <c r="D599" s="137"/>
      <c r="E599" s="12"/>
      <c r="F599" s="12"/>
    </row>
    <row r="600">
      <c r="A600" s="12"/>
      <c r="B600" s="135"/>
      <c r="C600" s="136"/>
      <c r="D600" s="137"/>
      <c r="E600" s="12"/>
      <c r="F600" s="12"/>
    </row>
    <row r="601">
      <c r="A601" s="12"/>
      <c r="B601" s="135"/>
      <c r="C601" s="136"/>
      <c r="D601" s="137"/>
      <c r="E601" s="12"/>
      <c r="F601" s="12"/>
    </row>
    <row r="602">
      <c r="A602" s="12"/>
      <c r="B602" s="135"/>
      <c r="C602" s="136"/>
      <c r="D602" s="137"/>
      <c r="E602" s="12"/>
      <c r="F602" s="12"/>
    </row>
    <row r="603">
      <c r="A603" s="12"/>
      <c r="B603" s="135"/>
      <c r="C603" s="136"/>
      <c r="D603" s="137"/>
      <c r="E603" s="12"/>
      <c r="F603" s="12"/>
    </row>
    <row r="604">
      <c r="A604" s="12"/>
      <c r="B604" s="135"/>
      <c r="C604" s="136"/>
      <c r="D604" s="137"/>
      <c r="E604" s="12"/>
      <c r="F604" s="12"/>
    </row>
    <row r="605">
      <c r="A605" s="12"/>
      <c r="B605" s="135"/>
      <c r="C605" s="136"/>
      <c r="D605" s="137"/>
      <c r="E605" s="12"/>
      <c r="F605" s="12"/>
    </row>
    <row r="606">
      <c r="A606" s="12"/>
      <c r="B606" s="135"/>
      <c r="C606" s="136"/>
      <c r="D606" s="137"/>
      <c r="E606" s="12"/>
      <c r="F606" s="12"/>
    </row>
    <row r="607">
      <c r="A607" s="12"/>
      <c r="B607" s="135"/>
      <c r="C607" s="136"/>
      <c r="D607" s="137"/>
      <c r="E607" s="12"/>
      <c r="F607" s="12"/>
    </row>
    <row r="608">
      <c r="A608" s="12"/>
      <c r="B608" s="135"/>
      <c r="C608" s="136"/>
      <c r="D608" s="137"/>
      <c r="E608" s="12"/>
      <c r="F608" s="12"/>
    </row>
    <row r="609">
      <c r="A609" s="12"/>
      <c r="B609" s="135"/>
      <c r="C609" s="136"/>
      <c r="D609" s="137"/>
      <c r="E609" s="12"/>
      <c r="F609" s="12"/>
    </row>
    <row r="610">
      <c r="A610" s="12"/>
      <c r="B610" s="135"/>
      <c r="C610" s="136"/>
      <c r="D610" s="137"/>
      <c r="E610" s="12"/>
      <c r="F610" s="12"/>
    </row>
    <row r="611">
      <c r="A611" s="12"/>
      <c r="B611" s="135"/>
      <c r="C611" s="136"/>
      <c r="D611" s="137"/>
      <c r="E611" s="12"/>
      <c r="F611" s="12"/>
    </row>
    <row r="612">
      <c r="A612" s="12"/>
      <c r="B612" s="135"/>
      <c r="C612" s="136"/>
      <c r="D612" s="137"/>
      <c r="E612" s="12"/>
      <c r="F612" s="12"/>
    </row>
    <row r="613">
      <c r="A613" s="12"/>
      <c r="B613" s="135"/>
      <c r="C613" s="136"/>
      <c r="D613" s="137"/>
      <c r="E613" s="12"/>
      <c r="F613" s="12"/>
    </row>
    <row r="614">
      <c r="A614" s="12"/>
      <c r="B614" s="135"/>
      <c r="C614" s="136"/>
      <c r="D614" s="137"/>
      <c r="E614" s="12"/>
      <c r="F614" s="12"/>
    </row>
    <row r="615">
      <c r="A615" s="12"/>
      <c r="B615" s="135"/>
      <c r="C615" s="136"/>
      <c r="D615" s="137"/>
      <c r="E615" s="12"/>
      <c r="F615" s="12"/>
    </row>
    <row r="616">
      <c r="A616" s="12"/>
      <c r="B616" s="135"/>
      <c r="C616" s="136"/>
      <c r="D616" s="137"/>
      <c r="E616" s="12"/>
      <c r="F616" s="12"/>
    </row>
    <row r="617">
      <c r="A617" s="12"/>
      <c r="B617" s="135"/>
      <c r="C617" s="136"/>
      <c r="D617" s="137"/>
      <c r="E617" s="12"/>
      <c r="F617" s="12"/>
    </row>
    <row r="618">
      <c r="A618" s="12"/>
      <c r="B618" s="135"/>
      <c r="C618" s="136"/>
      <c r="D618" s="137"/>
      <c r="E618" s="12"/>
      <c r="F618" s="12"/>
    </row>
    <row r="619">
      <c r="A619" s="12"/>
      <c r="B619" s="135"/>
      <c r="C619" s="136"/>
      <c r="D619" s="137"/>
      <c r="E619" s="12"/>
      <c r="F619" s="12"/>
    </row>
    <row r="620">
      <c r="A620" s="12"/>
      <c r="B620" s="135"/>
      <c r="C620" s="136"/>
      <c r="D620" s="137"/>
      <c r="E620" s="12"/>
      <c r="F620" s="12"/>
    </row>
    <row r="621">
      <c r="A621" s="12"/>
      <c r="B621" s="135"/>
      <c r="C621" s="136"/>
      <c r="D621" s="137"/>
      <c r="E621" s="12"/>
      <c r="F621" s="12"/>
    </row>
    <row r="622">
      <c r="A622" s="12"/>
      <c r="B622" s="135"/>
      <c r="C622" s="136"/>
      <c r="D622" s="137"/>
      <c r="E622" s="12"/>
      <c r="F622" s="12"/>
    </row>
    <row r="623">
      <c r="A623" s="12"/>
      <c r="B623" s="135"/>
      <c r="C623" s="136"/>
      <c r="D623" s="137"/>
      <c r="E623" s="12"/>
      <c r="F623" s="12"/>
    </row>
    <row r="624">
      <c r="A624" s="12"/>
      <c r="B624" s="135"/>
      <c r="C624" s="136"/>
      <c r="D624" s="137"/>
      <c r="E624" s="12"/>
      <c r="F624" s="12"/>
    </row>
    <row r="625">
      <c r="A625" s="12"/>
      <c r="B625" s="135"/>
      <c r="C625" s="136"/>
      <c r="D625" s="137"/>
      <c r="E625" s="12"/>
      <c r="F625" s="12"/>
    </row>
    <row r="626">
      <c r="A626" s="12"/>
      <c r="B626" s="135"/>
      <c r="C626" s="136"/>
      <c r="D626" s="137"/>
      <c r="E626" s="12"/>
      <c r="F626" s="12"/>
    </row>
    <row r="627">
      <c r="A627" s="12"/>
      <c r="B627" s="135"/>
      <c r="C627" s="136"/>
      <c r="D627" s="137"/>
      <c r="E627" s="12"/>
      <c r="F627" s="12"/>
    </row>
    <row r="628">
      <c r="A628" s="12"/>
      <c r="B628" s="135"/>
      <c r="C628" s="136"/>
      <c r="D628" s="137"/>
      <c r="E628" s="12"/>
      <c r="F628" s="12"/>
    </row>
    <row r="629">
      <c r="A629" s="12"/>
      <c r="B629" s="135"/>
      <c r="C629" s="136"/>
      <c r="D629" s="137"/>
      <c r="E629" s="12"/>
      <c r="F629" s="12"/>
    </row>
    <row r="630">
      <c r="A630" s="12"/>
      <c r="B630" s="135"/>
      <c r="C630" s="136"/>
      <c r="D630" s="137"/>
      <c r="E630" s="12"/>
      <c r="F630" s="12"/>
    </row>
    <row r="631">
      <c r="A631" s="12"/>
      <c r="B631" s="135"/>
      <c r="C631" s="136"/>
      <c r="D631" s="137"/>
      <c r="E631" s="12"/>
      <c r="F631" s="12"/>
    </row>
    <row r="632">
      <c r="A632" s="12"/>
      <c r="B632" s="135"/>
      <c r="C632" s="136"/>
      <c r="D632" s="137"/>
      <c r="E632" s="12"/>
      <c r="F632" s="12"/>
    </row>
    <row r="633">
      <c r="A633" s="12"/>
      <c r="B633" s="135"/>
      <c r="C633" s="136"/>
      <c r="D633" s="137"/>
      <c r="E633" s="12"/>
      <c r="F633" s="12"/>
    </row>
    <row r="634">
      <c r="A634" s="12"/>
      <c r="B634" s="135"/>
      <c r="C634" s="136"/>
      <c r="D634" s="137"/>
      <c r="E634" s="12"/>
      <c r="F634" s="12"/>
    </row>
    <row r="635">
      <c r="A635" s="12"/>
      <c r="B635" s="135"/>
      <c r="C635" s="136"/>
      <c r="D635" s="137"/>
      <c r="E635" s="12"/>
      <c r="F635" s="12"/>
    </row>
    <row r="636">
      <c r="A636" s="12"/>
      <c r="B636" s="135"/>
      <c r="C636" s="136"/>
      <c r="D636" s="137"/>
      <c r="E636" s="12"/>
      <c r="F636" s="12"/>
    </row>
    <row r="637">
      <c r="A637" s="12"/>
      <c r="B637" s="135"/>
      <c r="C637" s="136"/>
      <c r="D637" s="137"/>
      <c r="E637" s="12"/>
      <c r="F637" s="12"/>
    </row>
    <row r="638">
      <c r="A638" s="12"/>
      <c r="B638" s="135"/>
      <c r="C638" s="136"/>
      <c r="D638" s="137"/>
      <c r="E638" s="12"/>
      <c r="F638" s="12"/>
    </row>
    <row r="639">
      <c r="A639" s="12"/>
      <c r="B639" s="135"/>
      <c r="C639" s="136"/>
      <c r="D639" s="137"/>
      <c r="E639" s="12"/>
      <c r="F639" s="12"/>
    </row>
    <row r="640">
      <c r="A640" s="12"/>
      <c r="B640" s="135"/>
      <c r="C640" s="136"/>
      <c r="D640" s="137"/>
      <c r="E640" s="12"/>
      <c r="F640" s="12"/>
    </row>
    <row r="641">
      <c r="A641" s="12"/>
      <c r="B641" s="135"/>
      <c r="C641" s="136"/>
      <c r="D641" s="137"/>
      <c r="E641" s="12"/>
      <c r="F641" s="12"/>
    </row>
    <row r="642">
      <c r="A642" s="12"/>
      <c r="B642" s="135"/>
      <c r="C642" s="136"/>
      <c r="D642" s="137"/>
      <c r="E642" s="12"/>
      <c r="F642" s="12"/>
    </row>
    <row r="643">
      <c r="A643" s="12"/>
      <c r="B643" s="135"/>
      <c r="C643" s="136"/>
      <c r="D643" s="137"/>
      <c r="E643" s="12"/>
      <c r="F643" s="12"/>
    </row>
    <row r="644">
      <c r="A644" s="12"/>
      <c r="B644" s="135"/>
      <c r="C644" s="136"/>
      <c r="D644" s="137"/>
      <c r="E644" s="12"/>
      <c r="F644" s="12"/>
    </row>
    <row r="645">
      <c r="A645" s="12"/>
      <c r="B645" s="135"/>
      <c r="C645" s="136"/>
      <c r="D645" s="137"/>
      <c r="E645" s="12"/>
      <c r="F645" s="12"/>
    </row>
    <row r="646">
      <c r="A646" s="12"/>
      <c r="B646" s="135"/>
      <c r="C646" s="136"/>
      <c r="D646" s="137"/>
      <c r="E646" s="12"/>
      <c r="F646" s="12"/>
    </row>
    <row r="647">
      <c r="A647" s="12"/>
      <c r="B647" s="135"/>
      <c r="C647" s="136"/>
      <c r="D647" s="137"/>
      <c r="E647" s="12"/>
      <c r="F647" s="12"/>
    </row>
    <row r="648">
      <c r="A648" s="12"/>
      <c r="B648" s="135"/>
      <c r="C648" s="136"/>
      <c r="D648" s="137"/>
      <c r="E648" s="12"/>
      <c r="F648" s="12"/>
    </row>
    <row r="649">
      <c r="A649" s="12"/>
      <c r="B649" s="135"/>
      <c r="C649" s="136"/>
      <c r="D649" s="137"/>
      <c r="E649" s="12"/>
      <c r="F649" s="12"/>
    </row>
    <row r="650">
      <c r="A650" s="12"/>
      <c r="B650" s="135"/>
      <c r="C650" s="136"/>
      <c r="D650" s="137"/>
      <c r="E650" s="12"/>
      <c r="F650" s="12"/>
    </row>
    <row r="651">
      <c r="A651" s="12"/>
      <c r="B651" s="135"/>
      <c r="C651" s="136"/>
      <c r="D651" s="137"/>
      <c r="E651" s="12"/>
      <c r="F651" s="12"/>
    </row>
    <row r="652">
      <c r="A652" s="12"/>
      <c r="B652" s="135"/>
      <c r="C652" s="136"/>
      <c r="D652" s="137"/>
      <c r="E652" s="12"/>
      <c r="F652" s="12"/>
    </row>
    <row r="653">
      <c r="A653" s="12"/>
      <c r="B653" s="135"/>
      <c r="C653" s="136"/>
      <c r="D653" s="137"/>
      <c r="E653" s="12"/>
      <c r="F653" s="12"/>
    </row>
    <row r="654">
      <c r="A654" s="12"/>
      <c r="B654" s="135"/>
      <c r="C654" s="136"/>
      <c r="D654" s="137"/>
      <c r="E654" s="12"/>
      <c r="F654" s="12"/>
    </row>
    <row r="655">
      <c r="A655" s="12"/>
      <c r="B655" s="135"/>
      <c r="C655" s="136"/>
      <c r="D655" s="137"/>
      <c r="E655" s="12"/>
      <c r="F655" s="12"/>
    </row>
    <row r="656">
      <c r="A656" s="12"/>
      <c r="B656" s="135"/>
      <c r="C656" s="136"/>
      <c r="D656" s="137"/>
      <c r="E656" s="12"/>
      <c r="F656" s="12"/>
    </row>
    <row r="657">
      <c r="A657" s="12"/>
      <c r="B657" s="135"/>
      <c r="C657" s="136"/>
      <c r="D657" s="137"/>
      <c r="E657" s="12"/>
      <c r="F657" s="12"/>
    </row>
    <row r="658">
      <c r="A658" s="12"/>
      <c r="B658" s="135"/>
      <c r="C658" s="136"/>
      <c r="D658" s="137"/>
      <c r="E658" s="12"/>
      <c r="F658" s="12"/>
    </row>
    <row r="659">
      <c r="A659" s="12"/>
      <c r="B659" s="135"/>
      <c r="C659" s="136"/>
      <c r="D659" s="137"/>
      <c r="E659" s="12"/>
      <c r="F659" s="12"/>
    </row>
    <row r="660">
      <c r="A660" s="12"/>
      <c r="B660" s="135"/>
      <c r="C660" s="136"/>
      <c r="D660" s="137"/>
      <c r="E660" s="12"/>
      <c r="F660" s="12"/>
    </row>
    <row r="661">
      <c r="A661" s="12"/>
      <c r="B661" s="135"/>
      <c r="C661" s="136"/>
      <c r="D661" s="137"/>
      <c r="E661" s="12"/>
      <c r="F661" s="12"/>
    </row>
    <row r="662">
      <c r="A662" s="12"/>
      <c r="B662" s="135"/>
      <c r="C662" s="136"/>
      <c r="D662" s="137"/>
      <c r="E662" s="12"/>
      <c r="F662" s="12"/>
    </row>
    <row r="663">
      <c r="A663" s="12"/>
      <c r="B663" s="135"/>
      <c r="C663" s="136"/>
      <c r="D663" s="137"/>
      <c r="E663" s="12"/>
      <c r="F663" s="12"/>
    </row>
    <row r="664">
      <c r="A664" s="12"/>
      <c r="B664" s="135"/>
      <c r="C664" s="136"/>
      <c r="D664" s="137"/>
      <c r="E664" s="12"/>
      <c r="F664" s="12"/>
    </row>
    <row r="665">
      <c r="A665" s="12"/>
      <c r="B665" s="135"/>
      <c r="C665" s="136"/>
      <c r="D665" s="137"/>
      <c r="E665" s="12"/>
      <c r="F665" s="12"/>
    </row>
    <row r="666">
      <c r="A666" s="12"/>
      <c r="B666" s="135"/>
      <c r="C666" s="136"/>
      <c r="D666" s="137"/>
      <c r="E666" s="12"/>
      <c r="F666" s="12"/>
    </row>
    <row r="667">
      <c r="A667" s="12"/>
      <c r="B667" s="135"/>
      <c r="C667" s="136"/>
      <c r="D667" s="137"/>
      <c r="E667" s="12"/>
      <c r="F667" s="12"/>
    </row>
    <row r="668">
      <c r="A668" s="12"/>
      <c r="B668" s="135"/>
      <c r="C668" s="136"/>
      <c r="D668" s="137"/>
      <c r="E668" s="12"/>
      <c r="F668" s="12"/>
    </row>
    <row r="669">
      <c r="A669" s="12"/>
      <c r="B669" s="135"/>
      <c r="C669" s="136"/>
      <c r="D669" s="137"/>
      <c r="E669" s="12"/>
      <c r="F669" s="12"/>
    </row>
    <row r="670">
      <c r="A670" s="12"/>
      <c r="B670" s="135"/>
      <c r="C670" s="136"/>
      <c r="D670" s="137"/>
      <c r="E670" s="12"/>
      <c r="F670" s="12"/>
    </row>
    <row r="671">
      <c r="A671" s="12"/>
      <c r="B671" s="135"/>
      <c r="C671" s="136"/>
      <c r="D671" s="137"/>
      <c r="E671" s="12"/>
      <c r="F671" s="12"/>
    </row>
    <row r="672">
      <c r="A672" s="12"/>
      <c r="B672" s="135"/>
      <c r="C672" s="136"/>
      <c r="D672" s="137"/>
      <c r="E672" s="12"/>
      <c r="F672" s="12"/>
    </row>
    <row r="673">
      <c r="A673" s="12"/>
      <c r="B673" s="135"/>
      <c r="C673" s="136"/>
      <c r="D673" s="137"/>
      <c r="E673" s="12"/>
      <c r="F673" s="12"/>
    </row>
    <row r="674">
      <c r="A674" s="12"/>
      <c r="B674" s="135"/>
      <c r="C674" s="136"/>
      <c r="D674" s="137"/>
      <c r="E674" s="12"/>
      <c r="F674" s="12"/>
    </row>
    <row r="675">
      <c r="A675" s="12"/>
      <c r="B675" s="135"/>
      <c r="C675" s="136"/>
      <c r="D675" s="137"/>
      <c r="E675" s="12"/>
      <c r="F675" s="12"/>
    </row>
    <row r="676">
      <c r="A676" s="12"/>
      <c r="B676" s="135"/>
      <c r="C676" s="136"/>
      <c r="D676" s="137"/>
      <c r="E676" s="12"/>
      <c r="F676" s="12"/>
    </row>
    <row r="677">
      <c r="A677" s="12"/>
      <c r="B677" s="135"/>
      <c r="C677" s="136"/>
      <c r="D677" s="137"/>
      <c r="E677" s="12"/>
      <c r="F677" s="12"/>
    </row>
    <row r="678">
      <c r="A678" s="12"/>
      <c r="B678" s="135"/>
      <c r="C678" s="136"/>
      <c r="D678" s="137"/>
      <c r="E678" s="12"/>
      <c r="F678" s="12"/>
    </row>
    <row r="679">
      <c r="A679" s="12"/>
      <c r="B679" s="135"/>
      <c r="C679" s="136"/>
      <c r="D679" s="137"/>
      <c r="E679" s="12"/>
      <c r="F679" s="12"/>
    </row>
    <row r="680">
      <c r="A680" s="12"/>
      <c r="B680" s="135"/>
      <c r="C680" s="136"/>
      <c r="D680" s="137"/>
      <c r="E680" s="12"/>
      <c r="F680" s="12"/>
    </row>
    <row r="681">
      <c r="A681" s="12"/>
      <c r="B681" s="135"/>
      <c r="C681" s="136"/>
      <c r="D681" s="137"/>
      <c r="E681" s="12"/>
      <c r="F681" s="12"/>
    </row>
    <row r="682">
      <c r="A682" s="12"/>
      <c r="B682" s="135"/>
      <c r="C682" s="136"/>
      <c r="D682" s="137"/>
      <c r="E682" s="12"/>
      <c r="F682" s="12"/>
    </row>
    <row r="683">
      <c r="A683" s="12"/>
      <c r="B683" s="135"/>
      <c r="C683" s="136"/>
      <c r="D683" s="137"/>
      <c r="E683" s="12"/>
      <c r="F683" s="12"/>
    </row>
    <row r="684">
      <c r="A684" s="12"/>
      <c r="B684" s="135"/>
      <c r="C684" s="136"/>
      <c r="D684" s="137"/>
      <c r="E684" s="12"/>
      <c r="F684" s="12"/>
    </row>
    <row r="685">
      <c r="A685" s="12"/>
      <c r="B685" s="135"/>
      <c r="C685" s="136"/>
      <c r="D685" s="137"/>
      <c r="E685" s="12"/>
      <c r="F685" s="12"/>
    </row>
    <row r="686">
      <c r="A686" s="12"/>
      <c r="B686" s="135"/>
      <c r="C686" s="136"/>
      <c r="D686" s="137"/>
      <c r="E686" s="12"/>
      <c r="F686" s="12"/>
    </row>
    <row r="687">
      <c r="A687" s="12"/>
      <c r="B687" s="135"/>
      <c r="C687" s="136"/>
      <c r="D687" s="137"/>
      <c r="E687" s="12"/>
      <c r="F687" s="12"/>
    </row>
    <row r="688">
      <c r="A688" s="12"/>
      <c r="B688" s="135"/>
      <c r="C688" s="136"/>
      <c r="D688" s="137"/>
      <c r="E688" s="12"/>
      <c r="F688" s="12"/>
    </row>
    <row r="689">
      <c r="A689" s="12"/>
      <c r="B689" s="135"/>
      <c r="C689" s="136"/>
      <c r="D689" s="137"/>
      <c r="E689" s="12"/>
      <c r="F689" s="12"/>
    </row>
    <row r="690">
      <c r="A690" s="12"/>
      <c r="B690" s="135"/>
      <c r="C690" s="136"/>
      <c r="D690" s="137"/>
      <c r="E690" s="12"/>
      <c r="F690" s="12"/>
    </row>
    <row r="691">
      <c r="A691" s="12"/>
      <c r="B691" s="135"/>
      <c r="C691" s="136"/>
      <c r="D691" s="137"/>
      <c r="E691" s="12"/>
      <c r="F691" s="12"/>
    </row>
    <row r="692">
      <c r="A692" s="12"/>
      <c r="B692" s="135"/>
      <c r="C692" s="136"/>
      <c r="D692" s="137"/>
      <c r="E692" s="12"/>
      <c r="F692" s="12"/>
    </row>
    <row r="693">
      <c r="A693" s="12"/>
      <c r="B693" s="135"/>
      <c r="C693" s="136"/>
      <c r="D693" s="137"/>
      <c r="E693" s="12"/>
      <c r="F693" s="12"/>
    </row>
    <row r="694">
      <c r="A694" s="12"/>
      <c r="B694" s="135"/>
      <c r="C694" s="136"/>
      <c r="D694" s="137"/>
      <c r="E694" s="12"/>
      <c r="F694" s="12"/>
    </row>
    <row r="695">
      <c r="A695" s="12"/>
      <c r="B695" s="135"/>
      <c r="C695" s="136"/>
      <c r="D695" s="137"/>
      <c r="E695" s="12"/>
      <c r="F695" s="12"/>
    </row>
    <row r="696">
      <c r="A696" s="12"/>
      <c r="B696" s="135"/>
      <c r="C696" s="136"/>
      <c r="D696" s="137"/>
      <c r="E696" s="12"/>
      <c r="F696" s="12"/>
    </row>
    <row r="697">
      <c r="A697" s="12"/>
      <c r="B697" s="135"/>
      <c r="C697" s="136"/>
      <c r="D697" s="137"/>
      <c r="E697" s="12"/>
      <c r="F697" s="12"/>
    </row>
    <row r="698">
      <c r="A698" s="12"/>
      <c r="B698" s="135"/>
      <c r="C698" s="136"/>
      <c r="D698" s="137"/>
      <c r="E698" s="12"/>
      <c r="F698" s="12"/>
    </row>
    <row r="699">
      <c r="A699" s="12"/>
      <c r="B699" s="135"/>
      <c r="C699" s="136"/>
      <c r="D699" s="137"/>
      <c r="E699" s="12"/>
      <c r="F699" s="12"/>
    </row>
    <row r="700">
      <c r="A700" s="12"/>
      <c r="B700" s="135"/>
      <c r="C700" s="136"/>
      <c r="D700" s="137"/>
      <c r="E700" s="12"/>
      <c r="F700" s="12"/>
    </row>
    <row r="701">
      <c r="A701" s="12"/>
      <c r="B701" s="135"/>
      <c r="C701" s="136"/>
      <c r="D701" s="137"/>
      <c r="E701" s="12"/>
      <c r="F701" s="12"/>
    </row>
    <row r="702">
      <c r="A702" s="12"/>
      <c r="B702" s="135"/>
      <c r="C702" s="136"/>
      <c r="D702" s="137"/>
      <c r="E702" s="12"/>
      <c r="F702" s="12"/>
    </row>
    <row r="703">
      <c r="A703" s="12"/>
      <c r="B703" s="135"/>
      <c r="C703" s="136"/>
      <c r="D703" s="137"/>
      <c r="E703" s="12"/>
      <c r="F703" s="12"/>
    </row>
    <row r="704">
      <c r="A704" s="12"/>
      <c r="B704" s="135"/>
      <c r="C704" s="136"/>
      <c r="D704" s="137"/>
      <c r="E704" s="12"/>
      <c r="F704" s="12"/>
    </row>
    <row r="705">
      <c r="A705" s="12"/>
      <c r="B705" s="135"/>
      <c r="C705" s="136"/>
      <c r="D705" s="137"/>
      <c r="E705" s="12"/>
      <c r="F705" s="12"/>
    </row>
    <row r="706">
      <c r="A706" s="12"/>
      <c r="B706" s="135"/>
      <c r="C706" s="136"/>
      <c r="D706" s="137"/>
      <c r="E706" s="12"/>
      <c r="F706" s="12"/>
    </row>
    <row r="707">
      <c r="A707" s="12"/>
      <c r="B707" s="135"/>
      <c r="C707" s="136"/>
      <c r="D707" s="137"/>
      <c r="E707" s="12"/>
      <c r="F707" s="12"/>
    </row>
    <row r="708">
      <c r="A708" s="12"/>
      <c r="B708" s="135"/>
      <c r="C708" s="136"/>
      <c r="D708" s="137"/>
      <c r="E708" s="12"/>
      <c r="F708" s="12"/>
    </row>
    <row r="709">
      <c r="A709" s="12"/>
      <c r="B709" s="135"/>
      <c r="C709" s="136"/>
      <c r="D709" s="137"/>
      <c r="E709" s="12"/>
      <c r="F709" s="12"/>
    </row>
    <row r="710">
      <c r="A710" s="12"/>
      <c r="B710" s="135"/>
      <c r="C710" s="136"/>
      <c r="D710" s="137"/>
      <c r="E710" s="12"/>
      <c r="F710" s="12"/>
    </row>
    <row r="711">
      <c r="A711" s="12"/>
      <c r="B711" s="135"/>
      <c r="C711" s="136"/>
      <c r="D711" s="137"/>
      <c r="E711" s="12"/>
      <c r="F711" s="12"/>
    </row>
    <row r="712">
      <c r="A712" s="12"/>
      <c r="B712" s="135"/>
      <c r="C712" s="136"/>
      <c r="D712" s="137"/>
      <c r="E712" s="12"/>
      <c r="F712" s="12"/>
    </row>
    <row r="713">
      <c r="A713" s="12"/>
      <c r="B713" s="135"/>
      <c r="C713" s="136"/>
      <c r="D713" s="137"/>
      <c r="E713" s="12"/>
      <c r="F713" s="12"/>
    </row>
    <row r="714">
      <c r="A714" s="12"/>
      <c r="B714" s="135"/>
      <c r="C714" s="136"/>
      <c r="D714" s="137"/>
      <c r="E714" s="12"/>
      <c r="F714" s="12"/>
    </row>
    <row r="715">
      <c r="A715" s="12"/>
      <c r="B715" s="135"/>
      <c r="C715" s="136"/>
      <c r="D715" s="137"/>
      <c r="E715" s="12"/>
      <c r="F715" s="12"/>
    </row>
    <row r="716">
      <c r="A716" s="12"/>
      <c r="B716" s="135"/>
      <c r="C716" s="136"/>
      <c r="D716" s="137"/>
      <c r="E716" s="12"/>
      <c r="F716" s="12"/>
    </row>
    <row r="717">
      <c r="A717" s="12"/>
      <c r="B717" s="135"/>
      <c r="C717" s="136"/>
      <c r="D717" s="137"/>
      <c r="E717" s="12"/>
      <c r="F717" s="12"/>
    </row>
    <row r="718">
      <c r="A718" s="12"/>
      <c r="B718" s="135"/>
      <c r="C718" s="136"/>
      <c r="D718" s="137"/>
      <c r="E718" s="12"/>
      <c r="F718" s="12"/>
    </row>
    <row r="719">
      <c r="A719" s="12"/>
      <c r="B719" s="135"/>
      <c r="C719" s="136"/>
      <c r="D719" s="137"/>
      <c r="E719" s="12"/>
      <c r="F719" s="12"/>
    </row>
    <row r="720">
      <c r="A720" s="12"/>
      <c r="B720" s="135"/>
      <c r="C720" s="136"/>
      <c r="D720" s="137"/>
      <c r="E720" s="12"/>
      <c r="F720" s="12"/>
    </row>
    <row r="721">
      <c r="A721" s="12"/>
      <c r="B721" s="135"/>
      <c r="C721" s="136"/>
      <c r="D721" s="137"/>
      <c r="E721" s="12"/>
      <c r="F721" s="12"/>
    </row>
    <row r="722">
      <c r="A722" s="12"/>
      <c r="B722" s="135"/>
      <c r="C722" s="136"/>
      <c r="D722" s="137"/>
      <c r="E722" s="12"/>
      <c r="F722" s="12"/>
    </row>
    <row r="723">
      <c r="A723" s="12"/>
      <c r="B723" s="135"/>
      <c r="C723" s="136"/>
      <c r="D723" s="137"/>
      <c r="E723" s="12"/>
      <c r="F723" s="12"/>
    </row>
    <row r="724">
      <c r="A724" s="12"/>
      <c r="B724" s="135"/>
      <c r="C724" s="136"/>
      <c r="D724" s="137"/>
      <c r="E724" s="12"/>
      <c r="F724" s="12"/>
    </row>
    <row r="725">
      <c r="A725" s="12"/>
      <c r="B725" s="135"/>
      <c r="C725" s="136"/>
      <c r="D725" s="137"/>
      <c r="E725" s="12"/>
      <c r="F725" s="12"/>
    </row>
    <row r="726">
      <c r="A726" s="12"/>
      <c r="B726" s="135"/>
      <c r="C726" s="136"/>
      <c r="D726" s="137"/>
      <c r="E726" s="12"/>
      <c r="F726" s="12"/>
    </row>
    <row r="727">
      <c r="A727" s="12"/>
      <c r="B727" s="135"/>
      <c r="C727" s="136"/>
      <c r="D727" s="137"/>
      <c r="E727" s="12"/>
      <c r="F727" s="12"/>
    </row>
    <row r="728">
      <c r="A728" s="12"/>
      <c r="B728" s="135"/>
      <c r="C728" s="136"/>
      <c r="D728" s="137"/>
      <c r="E728" s="12"/>
      <c r="F728" s="12"/>
    </row>
    <row r="729">
      <c r="A729" s="12"/>
      <c r="B729" s="135"/>
      <c r="C729" s="136"/>
      <c r="D729" s="137"/>
      <c r="E729" s="12"/>
      <c r="F729" s="12"/>
    </row>
    <row r="730">
      <c r="A730" s="12"/>
      <c r="B730" s="135"/>
      <c r="C730" s="136"/>
      <c r="D730" s="137"/>
      <c r="E730" s="12"/>
      <c r="F730" s="12"/>
    </row>
    <row r="731">
      <c r="A731" s="12"/>
      <c r="B731" s="135"/>
      <c r="C731" s="136"/>
      <c r="D731" s="137"/>
      <c r="E731" s="12"/>
      <c r="F731" s="12"/>
    </row>
    <row r="732">
      <c r="A732" s="12"/>
      <c r="B732" s="135"/>
      <c r="C732" s="136"/>
      <c r="D732" s="137"/>
      <c r="E732" s="12"/>
      <c r="F732" s="12"/>
    </row>
    <row r="733">
      <c r="A733" s="12"/>
      <c r="B733" s="135"/>
      <c r="C733" s="136"/>
      <c r="D733" s="137"/>
      <c r="E733" s="12"/>
      <c r="F733" s="12"/>
    </row>
    <row r="734">
      <c r="A734" s="12"/>
      <c r="B734" s="135"/>
      <c r="C734" s="136"/>
      <c r="D734" s="137"/>
      <c r="E734" s="12"/>
      <c r="F734" s="12"/>
    </row>
    <row r="735">
      <c r="A735" s="12"/>
      <c r="B735" s="135"/>
      <c r="C735" s="136"/>
      <c r="D735" s="137"/>
      <c r="E735" s="12"/>
      <c r="F735" s="12"/>
    </row>
    <row r="736">
      <c r="A736" s="12"/>
      <c r="B736" s="135"/>
      <c r="C736" s="136"/>
      <c r="D736" s="137"/>
      <c r="E736" s="12"/>
      <c r="F736" s="12"/>
    </row>
    <row r="737">
      <c r="A737" s="12"/>
      <c r="B737" s="135"/>
      <c r="C737" s="136"/>
      <c r="D737" s="137"/>
      <c r="E737" s="12"/>
      <c r="F737" s="12"/>
    </row>
    <row r="738">
      <c r="A738" s="12"/>
      <c r="B738" s="135"/>
      <c r="C738" s="136"/>
      <c r="D738" s="137"/>
      <c r="E738" s="12"/>
      <c r="F738" s="12"/>
    </row>
    <row r="739">
      <c r="A739" s="12"/>
      <c r="B739" s="135"/>
      <c r="C739" s="136"/>
      <c r="D739" s="137"/>
      <c r="E739" s="12"/>
      <c r="F739" s="12"/>
    </row>
    <row r="740">
      <c r="A740" s="12"/>
      <c r="B740" s="135"/>
      <c r="C740" s="136"/>
      <c r="D740" s="137"/>
      <c r="E740" s="12"/>
      <c r="F740" s="12"/>
    </row>
    <row r="741">
      <c r="A741" s="12"/>
      <c r="B741" s="135"/>
      <c r="C741" s="136"/>
      <c r="D741" s="137"/>
      <c r="E741" s="12"/>
      <c r="F741" s="12"/>
    </row>
    <row r="742">
      <c r="A742" s="12"/>
      <c r="B742" s="135"/>
      <c r="C742" s="136"/>
      <c r="D742" s="137"/>
      <c r="E742" s="12"/>
      <c r="F742" s="12"/>
    </row>
    <row r="743">
      <c r="A743" s="12"/>
      <c r="B743" s="135"/>
      <c r="C743" s="136"/>
      <c r="D743" s="137"/>
      <c r="E743" s="12"/>
      <c r="F743" s="12"/>
    </row>
    <row r="744">
      <c r="A744" s="12"/>
      <c r="B744" s="135"/>
      <c r="C744" s="136"/>
      <c r="D744" s="137"/>
      <c r="E744" s="12"/>
      <c r="F744" s="12"/>
    </row>
    <row r="745">
      <c r="A745" s="12"/>
      <c r="B745" s="135"/>
      <c r="C745" s="136"/>
      <c r="D745" s="137"/>
      <c r="E745" s="12"/>
      <c r="F745" s="12"/>
    </row>
    <row r="746">
      <c r="A746" s="12"/>
      <c r="B746" s="135"/>
      <c r="C746" s="136"/>
      <c r="D746" s="137"/>
      <c r="E746" s="12"/>
      <c r="F746" s="12"/>
    </row>
    <row r="747">
      <c r="A747" s="12"/>
      <c r="B747" s="135"/>
      <c r="C747" s="136"/>
      <c r="D747" s="137"/>
      <c r="E747" s="12"/>
      <c r="F747" s="12"/>
    </row>
    <row r="748">
      <c r="A748" s="12"/>
      <c r="B748" s="135"/>
      <c r="C748" s="136"/>
      <c r="D748" s="137"/>
      <c r="E748" s="12"/>
      <c r="F748" s="12"/>
    </row>
    <row r="749">
      <c r="A749" s="12"/>
      <c r="B749" s="135"/>
      <c r="C749" s="136"/>
      <c r="D749" s="137"/>
      <c r="E749" s="12"/>
      <c r="F749" s="12"/>
    </row>
    <row r="750">
      <c r="A750" s="12"/>
      <c r="B750" s="135"/>
      <c r="C750" s="136"/>
      <c r="D750" s="137"/>
      <c r="E750" s="12"/>
      <c r="F750" s="12"/>
    </row>
    <row r="751">
      <c r="A751" s="12"/>
      <c r="B751" s="135"/>
      <c r="C751" s="136"/>
      <c r="D751" s="137"/>
      <c r="E751" s="12"/>
      <c r="F751" s="12"/>
    </row>
    <row r="752">
      <c r="A752" s="12"/>
      <c r="B752" s="135"/>
      <c r="C752" s="136"/>
      <c r="D752" s="137"/>
      <c r="E752" s="12"/>
      <c r="F752" s="12"/>
    </row>
    <row r="753">
      <c r="A753" s="12"/>
      <c r="B753" s="135"/>
      <c r="C753" s="136"/>
      <c r="D753" s="137"/>
      <c r="E753" s="12"/>
      <c r="F753" s="12"/>
    </row>
    <row r="754">
      <c r="A754" s="12"/>
      <c r="B754" s="135"/>
      <c r="C754" s="136"/>
      <c r="D754" s="137"/>
      <c r="E754" s="12"/>
      <c r="F754" s="12"/>
    </row>
    <row r="755">
      <c r="A755" s="12"/>
      <c r="B755" s="135"/>
      <c r="C755" s="136"/>
      <c r="D755" s="137"/>
      <c r="E755" s="12"/>
      <c r="F755" s="12"/>
    </row>
    <row r="756">
      <c r="A756" s="12"/>
      <c r="B756" s="135"/>
      <c r="C756" s="136"/>
      <c r="D756" s="137"/>
      <c r="E756" s="12"/>
      <c r="F756" s="12"/>
    </row>
    <row r="757">
      <c r="A757" s="12"/>
      <c r="B757" s="135"/>
      <c r="C757" s="136"/>
      <c r="D757" s="137"/>
      <c r="E757" s="12"/>
      <c r="F757" s="12"/>
    </row>
    <row r="758">
      <c r="A758" s="12"/>
      <c r="B758" s="135"/>
      <c r="C758" s="136"/>
      <c r="D758" s="137"/>
      <c r="E758" s="12"/>
      <c r="F758" s="12"/>
    </row>
    <row r="759">
      <c r="A759" s="12"/>
      <c r="B759" s="135"/>
      <c r="C759" s="136"/>
      <c r="D759" s="137"/>
      <c r="E759" s="12"/>
      <c r="F759" s="12"/>
    </row>
    <row r="760">
      <c r="A760" s="12"/>
      <c r="B760" s="135"/>
      <c r="C760" s="136"/>
      <c r="D760" s="137"/>
      <c r="E760" s="12"/>
      <c r="F760" s="12"/>
    </row>
    <row r="761">
      <c r="A761" s="12"/>
      <c r="B761" s="135"/>
      <c r="C761" s="136"/>
      <c r="D761" s="137"/>
      <c r="E761" s="12"/>
      <c r="F761" s="12"/>
    </row>
    <row r="762">
      <c r="A762" s="12"/>
      <c r="B762" s="135"/>
      <c r="C762" s="136"/>
      <c r="D762" s="137"/>
      <c r="E762" s="12"/>
      <c r="F762" s="12"/>
    </row>
    <row r="763">
      <c r="A763" s="12"/>
      <c r="B763" s="135"/>
      <c r="C763" s="136"/>
      <c r="D763" s="137"/>
      <c r="E763" s="12"/>
      <c r="F763" s="12"/>
    </row>
    <row r="764">
      <c r="A764" s="12"/>
      <c r="B764" s="135"/>
      <c r="C764" s="136"/>
      <c r="D764" s="137"/>
      <c r="E764" s="12"/>
      <c r="F764" s="12"/>
    </row>
    <row r="765">
      <c r="A765" s="12"/>
      <c r="B765" s="135"/>
      <c r="C765" s="136"/>
      <c r="D765" s="137"/>
      <c r="E765" s="12"/>
      <c r="F765" s="12"/>
    </row>
    <row r="766">
      <c r="A766" s="12"/>
      <c r="B766" s="135"/>
      <c r="C766" s="136"/>
      <c r="D766" s="137"/>
      <c r="E766" s="12"/>
      <c r="F766" s="12"/>
    </row>
    <row r="767">
      <c r="A767" s="12"/>
      <c r="B767" s="135"/>
      <c r="C767" s="136"/>
      <c r="D767" s="137"/>
      <c r="E767" s="12"/>
      <c r="F767" s="12"/>
    </row>
    <row r="768">
      <c r="A768" s="12"/>
      <c r="B768" s="135"/>
      <c r="C768" s="136"/>
      <c r="D768" s="137"/>
      <c r="E768" s="12"/>
      <c r="F768" s="12"/>
    </row>
    <row r="769">
      <c r="A769" s="12"/>
      <c r="B769" s="135"/>
      <c r="C769" s="136"/>
      <c r="D769" s="137"/>
      <c r="E769" s="12"/>
      <c r="F769" s="12"/>
    </row>
    <row r="770">
      <c r="A770" s="12"/>
      <c r="B770" s="135"/>
      <c r="C770" s="136"/>
      <c r="D770" s="137"/>
      <c r="E770" s="12"/>
      <c r="F770" s="12"/>
    </row>
    <row r="771">
      <c r="A771" s="12"/>
      <c r="B771" s="135"/>
      <c r="C771" s="136"/>
      <c r="D771" s="137"/>
      <c r="E771" s="12"/>
      <c r="F771" s="12"/>
    </row>
    <row r="772">
      <c r="A772" s="12"/>
      <c r="B772" s="135"/>
      <c r="C772" s="136"/>
      <c r="D772" s="137"/>
      <c r="E772" s="12"/>
      <c r="F772" s="12"/>
    </row>
    <row r="773">
      <c r="A773" s="12"/>
      <c r="B773" s="135"/>
      <c r="C773" s="136"/>
      <c r="D773" s="137"/>
      <c r="E773" s="12"/>
      <c r="F773" s="12"/>
    </row>
    <row r="774">
      <c r="A774" s="12"/>
      <c r="B774" s="135"/>
      <c r="C774" s="136"/>
      <c r="D774" s="137"/>
      <c r="E774" s="12"/>
      <c r="F774" s="12"/>
    </row>
    <row r="775">
      <c r="A775" s="12"/>
      <c r="B775" s="135"/>
      <c r="C775" s="136"/>
      <c r="D775" s="137"/>
      <c r="E775" s="12"/>
      <c r="F775" s="12"/>
    </row>
    <row r="776">
      <c r="A776" s="12"/>
      <c r="B776" s="135"/>
      <c r="C776" s="136"/>
      <c r="D776" s="137"/>
      <c r="E776" s="12"/>
      <c r="F776" s="12"/>
    </row>
    <row r="777">
      <c r="A777" s="12"/>
      <c r="B777" s="135"/>
      <c r="C777" s="136"/>
      <c r="D777" s="137"/>
      <c r="E777" s="12"/>
      <c r="F777" s="12"/>
    </row>
    <row r="778">
      <c r="A778" s="12"/>
      <c r="B778" s="135"/>
      <c r="C778" s="136"/>
      <c r="D778" s="137"/>
      <c r="E778" s="12"/>
      <c r="F778" s="12"/>
    </row>
    <row r="779">
      <c r="A779" s="12"/>
      <c r="B779" s="135"/>
      <c r="C779" s="136"/>
      <c r="D779" s="137"/>
      <c r="E779" s="12"/>
      <c r="F779" s="12"/>
    </row>
    <row r="780">
      <c r="A780" s="12"/>
      <c r="B780" s="135"/>
      <c r="C780" s="136"/>
      <c r="D780" s="137"/>
      <c r="E780" s="12"/>
      <c r="F780" s="12"/>
    </row>
    <row r="781">
      <c r="A781" s="12"/>
      <c r="B781" s="135"/>
      <c r="C781" s="136"/>
      <c r="D781" s="137"/>
      <c r="E781" s="12"/>
      <c r="F781" s="12"/>
    </row>
    <row r="782">
      <c r="A782" s="12"/>
      <c r="B782" s="135"/>
      <c r="C782" s="136"/>
      <c r="D782" s="137"/>
      <c r="E782" s="12"/>
      <c r="F782" s="12"/>
    </row>
    <row r="783">
      <c r="A783" s="12"/>
      <c r="B783" s="135"/>
      <c r="C783" s="136"/>
      <c r="D783" s="137"/>
      <c r="E783" s="12"/>
      <c r="F783" s="12"/>
    </row>
    <row r="784">
      <c r="A784" s="12"/>
      <c r="B784" s="135"/>
      <c r="C784" s="136"/>
      <c r="D784" s="137"/>
      <c r="E784" s="12"/>
      <c r="F784" s="12"/>
    </row>
    <row r="785">
      <c r="A785" s="12"/>
      <c r="B785" s="135"/>
      <c r="C785" s="136"/>
      <c r="D785" s="137"/>
      <c r="E785" s="12"/>
      <c r="F785" s="12"/>
    </row>
    <row r="786">
      <c r="A786" s="12"/>
      <c r="B786" s="135"/>
      <c r="C786" s="136"/>
      <c r="D786" s="137"/>
      <c r="E786" s="12"/>
      <c r="F786" s="12"/>
    </row>
    <row r="787">
      <c r="A787" s="12"/>
      <c r="B787" s="135"/>
      <c r="C787" s="136"/>
      <c r="D787" s="137"/>
      <c r="E787" s="12"/>
      <c r="F787" s="12"/>
    </row>
    <row r="788">
      <c r="A788" s="12"/>
      <c r="B788" s="135"/>
      <c r="C788" s="136"/>
      <c r="D788" s="137"/>
      <c r="E788" s="12"/>
      <c r="F788" s="12"/>
    </row>
    <row r="789">
      <c r="A789" s="12"/>
      <c r="B789" s="135"/>
      <c r="C789" s="136"/>
      <c r="D789" s="137"/>
      <c r="E789" s="12"/>
      <c r="F789" s="12"/>
    </row>
    <row r="790">
      <c r="A790" s="12"/>
      <c r="B790" s="135"/>
      <c r="C790" s="136"/>
      <c r="D790" s="137"/>
      <c r="E790" s="12"/>
      <c r="F790" s="12"/>
    </row>
    <row r="791">
      <c r="A791" s="12"/>
      <c r="B791" s="135"/>
      <c r="C791" s="136"/>
      <c r="D791" s="137"/>
      <c r="E791" s="12"/>
      <c r="F791" s="12"/>
    </row>
    <row r="792">
      <c r="A792" s="12"/>
      <c r="B792" s="135"/>
      <c r="C792" s="136"/>
      <c r="D792" s="137"/>
      <c r="E792" s="12"/>
      <c r="F792" s="12"/>
    </row>
    <row r="793">
      <c r="A793" s="12"/>
      <c r="B793" s="135"/>
      <c r="C793" s="136"/>
      <c r="D793" s="137"/>
      <c r="E793" s="12"/>
      <c r="F793" s="12"/>
    </row>
    <row r="794">
      <c r="A794" s="12"/>
      <c r="B794" s="135"/>
      <c r="C794" s="136"/>
      <c r="D794" s="137"/>
      <c r="E794" s="12"/>
      <c r="F794" s="12"/>
    </row>
    <row r="795">
      <c r="A795" s="12"/>
      <c r="B795" s="135"/>
      <c r="C795" s="136"/>
      <c r="D795" s="137"/>
      <c r="E795" s="12"/>
      <c r="F795" s="12"/>
    </row>
    <row r="796">
      <c r="A796" s="12"/>
      <c r="B796" s="135"/>
      <c r="C796" s="136"/>
      <c r="D796" s="137"/>
      <c r="E796" s="12"/>
      <c r="F796" s="12"/>
    </row>
    <row r="797">
      <c r="A797" s="12"/>
      <c r="B797" s="135"/>
      <c r="C797" s="136"/>
      <c r="D797" s="137"/>
      <c r="E797" s="12"/>
      <c r="F797" s="12"/>
    </row>
    <row r="798">
      <c r="A798" s="12"/>
      <c r="B798" s="135"/>
      <c r="C798" s="136"/>
      <c r="D798" s="137"/>
      <c r="E798" s="12"/>
      <c r="F798" s="12"/>
    </row>
    <row r="799">
      <c r="A799" s="12"/>
      <c r="B799" s="135"/>
      <c r="C799" s="136"/>
      <c r="D799" s="137"/>
      <c r="E799" s="12"/>
      <c r="F799" s="12"/>
    </row>
    <row r="800">
      <c r="A800" s="12"/>
      <c r="B800" s="135"/>
      <c r="C800" s="136"/>
      <c r="D800" s="137"/>
      <c r="E800" s="12"/>
      <c r="F800" s="12"/>
    </row>
    <row r="801">
      <c r="A801" s="12"/>
      <c r="B801" s="135"/>
      <c r="C801" s="136"/>
      <c r="D801" s="137"/>
      <c r="E801" s="12"/>
      <c r="F801" s="12"/>
    </row>
    <row r="802">
      <c r="A802" s="12"/>
      <c r="B802" s="135"/>
      <c r="C802" s="136"/>
      <c r="D802" s="137"/>
      <c r="E802" s="12"/>
      <c r="F802" s="12"/>
    </row>
    <row r="803">
      <c r="A803" s="12"/>
      <c r="B803" s="135"/>
      <c r="C803" s="136"/>
      <c r="D803" s="137"/>
      <c r="E803" s="12"/>
      <c r="F803" s="12"/>
    </row>
    <row r="804">
      <c r="A804" s="12"/>
      <c r="B804" s="135"/>
      <c r="C804" s="136"/>
      <c r="D804" s="137"/>
      <c r="E804" s="12"/>
      <c r="F804" s="12"/>
    </row>
    <row r="805">
      <c r="A805" s="12"/>
      <c r="B805" s="135"/>
      <c r="C805" s="136"/>
      <c r="D805" s="137"/>
      <c r="E805" s="12"/>
      <c r="F805" s="12"/>
    </row>
    <row r="806">
      <c r="A806" s="12"/>
      <c r="B806" s="135"/>
      <c r="C806" s="136"/>
      <c r="D806" s="137"/>
      <c r="E806" s="12"/>
      <c r="F806" s="12"/>
    </row>
    <row r="807">
      <c r="A807" s="12"/>
      <c r="B807" s="135"/>
      <c r="C807" s="136"/>
      <c r="D807" s="137"/>
      <c r="E807" s="12"/>
      <c r="F807" s="12"/>
    </row>
    <row r="808">
      <c r="A808" s="12"/>
      <c r="B808" s="135"/>
      <c r="C808" s="136"/>
      <c r="D808" s="137"/>
      <c r="E808" s="12"/>
      <c r="F808" s="12"/>
    </row>
    <row r="809">
      <c r="A809" s="12"/>
      <c r="B809" s="135"/>
      <c r="C809" s="136"/>
      <c r="D809" s="137"/>
      <c r="E809" s="12"/>
      <c r="F809" s="12"/>
    </row>
    <row r="810">
      <c r="A810" s="12"/>
      <c r="B810" s="135"/>
      <c r="C810" s="136"/>
      <c r="D810" s="137"/>
      <c r="E810" s="12"/>
      <c r="F810" s="12"/>
    </row>
    <row r="811">
      <c r="A811" s="12"/>
      <c r="B811" s="135"/>
      <c r="C811" s="136"/>
      <c r="D811" s="137"/>
      <c r="E811" s="12"/>
      <c r="F811" s="12"/>
    </row>
    <row r="812">
      <c r="A812" s="12"/>
      <c r="B812" s="135"/>
      <c r="C812" s="136"/>
      <c r="D812" s="137"/>
      <c r="E812" s="12"/>
      <c r="F812" s="12"/>
    </row>
    <row r="813">
      <c r="A813" s="12"/>
      <c r="B813" s="135"/>
      <c r="C813" s="136"/>
      <c r="D813" s="137"/>
      <c r="E813" s="12"/>
      <c r="F813" s="12"/>
    </row>
    <row r="814">
      <c r="A814" s="12"/>
      <c r="B814" s="135"/>
      <c r="C814" s="136"/>
      <c r="D814" s="137"/>
      <c r="E814" s="12"/>
      <c r="F814" s="12"/>
    </row>
    <row r="815">
      <c r="A815" s="12"/>
      <c r="B815" s="135"/>
      <c r="C815" s="136"/>
      <c r="D815" s="137"/>
      <c r="E815" s="12"/>
      <c r="F815" s="12"/>
    </row>
    <row r="816">
      <c r="A816" s="12"/>
      <c r="B816" s="135"/>
      <c r="C816" s="136"/>
      <c r="D816" s="137"/>
      <c r="E816" s="12"/>
      <c r="F816" s="12"/>
    </row>
    <row r="817">
      <c r="A817" s="12"/>
      <c r="B817" s="135"/>
      <c r="C817" s="136"/>
      <c r="D817" s="137"/>
      <c r="E817" s="12"/>
      <c r="F817" s="12"/>
    </row>
    <row r="818">
      <c r="A818" s="12"/>
      <c r="B818" s="135"/>
      <c r="C818" s="136"/>
      <c r="D818" s="137"/>
      <c r="E818" s="12"/>
      <c r="F818" s="12"/>
    </row>
    <row r="819">
      <c r="A819" s="12"/>
      <c r="B819" s="135"/>
      <c r="C819" s="136"/>
      <c r="D819" s="137"/>
      <c r="E819" s="12"/>
      <c r="F819" s="12"/>
    </row>
    <row r="820">
      <c r="A820" s="12"/>
      <c r="B820" s="135"/>
      <c r="C820" s="136"/>
      <c r="D820" s="137"/>
      <c r="E820" s="12"/>
      <c r="F820" s="12"/>
    </row>
    <row r="821">
      <c r="A821" s="12"/>
      <c r="B821" s="135"/>
      <c r="C821" s="136"/>
      <c r="D821" s="137"/>
      <c r="E821" s="12"/>
      <c r="F821" s="12"/>
    </row>
    <row r="822">
      <c r="A822" s="12"/>
      <c r="B822" s="135"/>
      <c r="C822" s="136"/>
      <c r="D822" s="137"/>
      <c r="E822" s="12"/>
      <c r="F822" s="12"/>
    </row>
    <row r="823">
      <c r="A823" s="12"/>
      <c r="B823" s="135"/>
      <c r="C823" s="136"/>
      <c r="D823" s="137"/>
      <c r="E823" s="12"/>
      <c r="F823" s="12"/>
    </row>
    <row r="824">
      <c r="A824" s="12"/>
      <c r="B824" s="135"/>
      <c r="C824" s="136"/>
      <c r="D824" s="137"/>
      <c r="E824" s="12"/>
      <c r="F824" s="12"/>
    </row>
    <row r="825">
      <c r="A825" s="12"/>
      <c r="B825" s="135"/>
      <c r="C825" s="136"/>
      <c r="D825" s="137"/>
      <c r="E825" s="12"/>
      <c r="F825" s="12"/>
    </row>
    <row r="826">
      <c r="A826" s="12"/>
      <c r="B826" s="135"/>
      <c r="C826" s="136"/>
      <c r="D826" s="137"/>
      <c r="E826" s="12"/>
      <c r="F826" s="12"/>
    </row>
    <row r="827">
      <c r="A827" s="12"/>
      <c r="B827" s="135"/>
      <c r="C827" s="136"/>
      <c r="D827" s="137"/>
      <c r="E827" s="12"/>
      <c r="F827" s="12"/>
    </row>
    <row r="828">
      <c r="A828" s="12"/>
      <c r="B828" s="135"/>
      <c r="C828" s="136"/>
      <c r="D828" s="137"/>
      <c r="E828" s="12"/>
      <c r="F828" s="12"/>
    </row>
    <row r="829">
      <c r="A829" s="12"/>
      <c r="B829" s="135"/>
      <c r="C829" s="136"/>
      <c r="D829" s="137"/>
      <c r="E829" s="12"/>
      <c r="F829" s="12"/>
    </row>
    <row r="830">
      <c r="A830" s="12"/>
      <c r="B830" s="135"/>
      <c r="C830" s="136"/>
      <c r="D830" s="137"/>
      <c r="E830" s="12"/>
      <c r="F830" s="12"/>
    </row>
    <row r="831">
      <c r="A831" s="12"/>
      <c r="B831" s="135"/>
      <c r="C831" s="136"/>
      <c r="D831" s="137"/>
      <c r="E831" s="12"/>
      <c r="F831" s="12"/>
    </row>
    <row r="832">
      <c r="A832" s="12"/>
      <c r="B832" s="135"/>
      <c r="C832" s="136"/>
      <c r="D832" s="137"/>
      <c r="E832" s="12"/>
      <c r="F832" s="12"/>
    </row>
    <row r="833">
      <c r="A833" s="12"/>
      <c r="B833" s="135"/>
      <c r="C833" s="136"/>
      <c r="D833" s="137"/>
      <c r="E833" s="12"/>
      <c r="F833" s="12"/>
    </row>
    <row r="834">
      <c r="A834" s="12"/>
      <c r="B834" s="135"/>
      <c r="C834" s="136"/>
      <c r="D834" s="137"/>
      <c r="E834" s="12"/>
      <c r="F834" s="12"/>
    </row>
    <row r="835">
      <c r="A835" s="12"/>
      <c r="B835" s="135"/>
      <c r="C835" s="136"/>
      <c r="D835" s="137"/>
      <c r="E835" s="12"/>
      <c r="F835" s="12"/>
    </row>
    <row r="836">
      <c r="A836" s="12"/>
      <c r="B836" s="135"/>
      <c r="C836" s="136"/>
      <c r="D836" s="137"/>
      <c r="E836" s="12"/>
      <c r="F836" s="12"/>
    </row>
    <row r="837">
      <c r="A837" s="12"/>
      <c r="B837" s="135"/>
      <c r="C837" s="136"/>
      <c r="D837" s="137"/>
      <c r="E837" s="12"/>
      <c r="F837" s="12"/>
    </row>
    <row r="838">
      <c r="A838" s="12"/>
      <c r="B838" s="135"/>
      <c r="C838" s="136"/>
      <c r="D838" s="137"/>
      <c r="E838" s="12"/>
      <c r="F838" s="12"/>
    </row>
    <row r="839">
      <c r="A839" s="12"/>
      <c r="B839" s="135"/>
      <c r="C839" s="136"/>
      <c r="D839" s="137"/>
      <c r="E839" s="12"/>
      <c r="F839" s="12"/>
    </row>
    <row r="840">
      <c r="A840" s="12"/>
      <c r="B840" s="135"/>
      <c r="C840" s="136"/>
      <c r="D840" s="137"/>
      <c r="E840" s="12"/>
      <c r="F840" s="12"/>
    </row>
    <row r="841">
      <c r="A841" s="12"/>
      <c r="B841" s="135"/>
      <c r="C841" s="136"/>
      <c r="D841" s="137"/>
      <c r="E841" s="12"/>
      <c r="F841" s="12"/>
    </row>
    <row r="842">
      <c r="A842" s="12"/>
      <c r="B842" s="135"/>
      <c r="C842" s="136"/>
      <c r="D842" s="137"/>
      <c r="E842" s="12"/>
      <c r="F842" s="12"/>
    </row>
    <row r="843">
      <c r="A843" s="12"/>
      <c r="B843" s="135"/>
      <c r="C843" s="136"/>
      <c r="D843" s="137"/>
      <c r="E843" s="12"/>
      <c r="F843" s="12"/>
    </row>
    <row r="844">
      <c r="A844" s="12"/>
      <c r="B844" s="135"/>
      <c r="C844" s="136"/>
      <c r="D844" s="137"/>
      <c r="E844" s="12"/>
      <c r="F844" s="12"/>
    </row>
    <row r="845">
      <c r="A845" s="12"/>
      <c r="B845" s="135"/>
      <c r="C845" s="136"/>
      <c r="D845" s="137"/>
      <c r="E845" s="12"/>
      <c r="F845" s="12"/>
    </row>
    <row r="846">
      <c r="A846" s="12"/>
      <c r="B846" s="135"/>
      <c r="C846" s="136"/>
      <c r="D846" s="137"/>
      <c r="E846" s="12"/>
      <c r="F846" s="12"/>
    </row>
    <row r="847">
      <c r="A847" s="12"/>
      <c r="B847" s="135"/>
      <c r="C847" s="136"/>
      <c r="D847" s="137"/>
      <c r="E847" s="12"/>
      <c r="F847" s="12"/>
    </row>
    <row r="848">
      <c r="A848" s="12"/>
      <c r="B848" s="135"/>
      <c r="C848" s="136"/>
      <c r="D848" s="137"/>
      <c r="E848" s="12"/>
      <c r="F848" s="12"/>
    </row>
    <row r="849">
      <c r="A849" s="12"/>
      <c r="B849" s="135"/>
      <c r="C849" s="136"/>
      <c r="D849" s="137"/>
      <c r="E849" s="12"/>
      <c r="F849" s="12"/>
    </row>
    <row r="850">
      <c r="A850" s="12"/>
      <c r="B850" s="135"/>
      <c r="C850" s="136"/>
      <c r="D850" s="137"/>
      <c r="E850" s="12"/>
      <c r="F850" s="12"/>
    </row>
    <row r="851">
      <c r="A851" s="12"/>
      <c r="B851" s="135"/>
      <c r="C851" s="136"/>
      <c r="D851" s="137"/>
      <c r="E851" s="12"/>
      <c r="F851" s="12"/>
    </row>
    <row r="852">
      <c r="A852" s="12"/>
      <c r="B852" s="135"/>
      <c r="C852" s="136"/>
      <c r="D852" s="137"/>
      <c r="E852" s="12"/>
      <c r="F852" s="12"/>
    </row>
    <row r="853">
      <c r="A853" s="12"/>
      <c r="B853" s="135"/>
      <c r="C853" s="136"/>
      <c r="D853" s="137"/>
      <c r="E853" s="12"/>
      <c r="F853" s="12"/>
    </row>
    <row r="854">
      <c r="A854" s="12"/>
      <c r="B854" s="135"/>
      <c r="C854" s="136"/>
      <c r="D854" s="137"/>
      <c r="E854" s="12"/>
      <c r="F854" s="12"/>
    </row>
    <row r="855">
      <c r="A855" s="12"/>
      <c r="B855" s="135"/>
      <c r="C855" s="136"/>
      <c r="D855" s="137"/>
      <c r="E855" s="12"/>
      <c r="F855" s="12"/>
    </row>
    <row r="856">
      <c r="A856" s="12"/>
      <c r="B856" s="135"/>
      <c r="C856" s="136"/>
      <c r="D856" s="137"/>
      <c r="E856" s="12"/>
      <c r="F856" s="12"/>
    </row>
    <row r="857">
      <c r="A857" s="12"/>
      <c r="B857" s="135"/>
      <c r="C857" s="136"/>
      <c r="D857" s="137"/>
      <c r="E857" s="12"/>
      <c r="F857" s="12"/>
    </row>
    <row r="858">
      <c r="A858" s="12"/>
      <c r="B858" s="135"/>
      <c r="C858" s="136"/>
      <c r="D858" s="137"/>
      <c r="E858" s="12"/>
      <c r="F858" s="12"/>
    </row>
    <row r="859">
      <c r="A859" s="12"/>
      <c r="B859" s="135"/>
      <c r="C859" s="136"/>
      <c r="D859" s="137"/>
      <c r="E859" s="12"/>
      <c r="F859" s="12"/>
    </row>
    <row r="860">
      <c r="A860" s="12"/>
      <c r="B860" s="135"/>
      <c r="C860" s="136"/>
      <c r="D860" s="137"/>
      <c r="E860" s="12"/>
      <c r="F860" s="12"/>
    </row>
    <row r="861">
      <c r="A861" s="12"/>
      <c r="B861" s="135"/>
      <c r="C861" s="136"/>
      <c r="D861" s="137"/>
      <c r="E861" s="12"/>
      <c r="F861" s="12"/>
    </row>
    <row r="862">
      <c r="A862" s="12"/>
      <c r="B862" s="135"/>
      <c r="C862" s="136"/>
      <c r="D862" s="137"/>
      <c r="E862" s="12"/>
      <c r="F862" s="12"/>
    </row>
    <row r="863">
      <c r="A863" s="12"/>
      <c r="B863" s="135"/>
      <c r="C863" s="136"/>
      <c r="D863" s="137"/>
      <c r="E863" s="12"/>
      <c r="F863" s="12"/>
    </row>
    <row r="864">
      <c r="A864" s="12"/>
      <c r="B864" s="135"/>
      <c r="C864" s="136"/>
      <c r="D864" s="137"/>
      <c r="E864" s="12"/>
      <c r="F864" s="12"/>
    </row>
    <row r="865">
      <c r="A865" s="12"/>
      <c r="B865" s="135"/>
      <c r="C865" s="136"/>
      <c r="D865" s="137"/>
      <c r="E865" s="12"/>
      <c r="F865" s="12"/>
    </row>
    <row r="866">
      <c r="A866" s="12"/>
      <c r="B866" s="135"/>
      <c r="C866" s="136"/>
      <c r="D866" s="137"/>
      <c r="E866" s="12"/>
      <c r="F866" s="12"/>
    </row>
    <row r="867">
      <c r="A867" s="12"/>
      <c r="B867" s="135"/>
      <c r="C867" s="136"/>
      <c r="D867" s="137"/>
      <c r="E867" s="12"/>
      <c r="F867" s="12"/>
    </row>
    <row r="868">
      <c r="A868" s="12"/>
      <c r="B868" s="135"/>
      <c r="C868" s="136"/>
      <c r="D868" s="137"/>
      <c r="E868" s="12"/>
      <c r="F868" s="12"/>
    </row>
    <row r="869">
      <c r="A869" s="12"/>
      <c r="B869" s="135"/>
      <c r="C869" s="136"/>
      <c r="D869" s="137"/>
      <c r="E869" s="12"/>
      <c r="F869" s="12"/>
    </row>
    <row r="870">
      <c r="A870" s="12"/>
      <c r="B870" s="135"/>
      <c r="C870" s="136"/>
      <c r="D870" s="137"/>
      <c r="E870" s="12"/>
      <c r="F870" s="12"/>
    </row>
    <row r="871">
      <c r="A871" s="12"/>
      <c r="B871" s="135"/>
      <c r="C871" s="136"/>
      <c r="D871" s="137"/>
      <c r="E871" s="12"/>
      <c r="F871" s="12"/>
    </row>
    <row r="872">
      <c r="A872" s="12"/>
      <c r="B872" s="135"/>
      <c r="C872" s="136"/>
      <c r="D872" s="137"/>
      <c r="E872" s="12"/>
      <c r="F872" s="12"/>
    </row>
    <row r="873">
      <c r="A873" s="12"/>
      <c r="B873" s="135"/>
      <c r="C873" s="136"/>
      <c r="D873" s="137"/>
      <c r="E873" s="12"/>
      <c r="F873" s="12"/>
    </row>
    <row r="874">
      <c r="A874" s="12"/>
      <c r="B874" s="135"/>
      <c r="C874" s="136"/>
      <c r="D874" s="137"/>
      <c r="E874" s="12"/>
      <c r="F874" s="12"/>
    </row>
    <row r="875">
      <c r="A875" s="12"/>
      <c r="B875" s="135"/>
      <c r="C875" s="136"/>
      <c r="D875" s="137"/>
      <c r="E875" s="12"/>
      <c r="F875" s="12"/>
    </row>
    <row r="876">
      <c r="A876" s="12"/>
      <c r="B876" s="135"/>
      <c r="C876" s="136"/>
      <c r="D876" s="137"/>
      <c r="E876" s="12"/>
      <c r="F876" s="12"/>
    </row>
    <row r="877">
      <c r="A877" s="12"/>
      <c r="B877" s="135"/>
      <c r="C877" s="136"/>
      <c r="D877" s="137"/>
      <c r="E877" s="12"/>
      <c r="F877" s="12"/>
    </row>
    <row r="878">
      <c r="A878" s="12"/>
      <c r="B878" s="135"/>
      <c r="C878" s="136"/>
      <c r="D878" s="137"/>
      <c r="E878" s="12"/>
      <c r="F878" s="12"/>
    </row>
    <row r="879">
      <c r="A879" s="12"/>
      <c r="B879" s="135"/>
      <c r="C879" s="136"/>
      <c r="D879" s="137"/>
      <c r="E879" s="12"/>
      <c r="F879" s="12"/>
    </row>
    <row r="880">
      <c r="A880" s="12"/>
      <c r="B880" s="135"/>
      <c r="C880" s="136"/>
      <c r="D880" s="137"/>
      <c r="E880" s="12"/>
      <c r="F880" s="12"/>
    </row>
    <row r="881">
      <c r="A881" s="12"/>
      <c r="B881" s="135"/>
      <c r="C881" s="136"/>
      <c r="D881" s="137"/>
      <c r="E881" s="12"/>
      <c r="F881" s="12"/>
    </row>
    <row r="882">
      <c r="A882" s="12"/>
      <c r="B882" s="135"/>
      <c r="C882" s="136"/>
      <c r="D882" s="137"/>
      <c r="E882" s="12"/>
      <c r="F882" s="12"/>
    </row>
    <row r="883">
      <c r="A883" s="12"/>
      <c r="B883" s="135"/>
      <c r="C883" s="136"/>
      <c r="D883" s="137"/>
      <c r="E883" s="12"/>
      <c r="F883" s="12"/>
    </row>
    <row r="884">
      <c r="A884" s="12"/>
      <c r="B884" s="135"/>
      <c r="C884" s="136"/>
      <c r="D884" s="137"/>
      <c r="E884" s="12"/>
      <c r="F884" s="12"/>
    </row>
    <row r="885">
      <c r="A885" s="12"/>
      <c r="B885" s="135"/>
      <c r="C885" s="136"/>
      <c r="D885" s="137"/>
      <c r="E885" s="12"/>
      <c r="F885" s="12"/>
    </row>
    <row r="886">
      <c r="A886" s="12"/>
      <c r="B886" s="135"/>
      <c r="C886" s="136"/>
      <c r="D886" s="137"/>
      <c r="E886" s="12"/>
      <c r="F886" s="12"/>
    </row>
    <row r="887">
      <c r="A887" s="12"/>
      <c r="B887" s="135"/>
      <c r="C887" s="136"/>
      <c r="D887" s="137"/>
      <c r="E887" s="12"/>
      <c r="F887" s="12"/>
    </row>
    <row r="888">
      <c r="A888" s="12"/>
      <c r="B888" s="135"/>
      <c r="C888" s="136"/>
      <c r="D888" s="137"/>
      <c r="E888" s="12"/>
      <c r="F888" s="12"/>
    </row>
    <row r="889">
      <c r="A889" s="12"/>
      <c r="B889" s="135"/>
      <c r="C889" s="136"/>
      <c r="D889" s="137"/>
      <c r="E889" s="12"/>
      <c r="F889" s="12"/>
    </row>
    <row r="890">
      <c r="A890" s="12"/>
      <c r="B890" s="135"/>
      <c r="C890" s="136"/>
      <c r="D890" s="137"/>
      <c r="E890" s="12"/>
      <c r="F890" s="12"/>
    </row>
    <row r="891">
      <c r="A891" s="12"/>
      <c r="B891" s="135"/>
      <c r="C891" s="136"/>
      <c r="D891" s="137"/>
      <c r="E891" s="12"/>
      <c r="F891" s="12"/>
    </row>
    <row r="892">
      <c r="A892" s="12"/>
      <c r="B892" s="135"/>
      <c r="C892" s="136"/>
      <c r="D892" s="137"/>
      <c r="E892" s="12"/>
      <c r="F892" s="12"/>
    </row>
    <row r="893">
      <c r="A893" s="12"/>
      <c r="B893" s="135"/>
      <c r="C893" s="136"/>
      <c r="D893" s="137"/>
      <c r="E893" s="12"/>
      <c r="F893" s="12"/>
    </row>
    <row r="894">
      <c r="A894" s="12"/>
      <c r="B894" s="135"/>
      <c r="C894" s="136"/>
      <c r="D894" s="137"/>
      <c r="E894" s="12"/>
      <c r="F894" s="12"/>
    </row>
    <row r="895">
      <c r="A895" s="12"/>
      <c r="B895" s="135"/>
      <c r="C895" s="136"/>
      <c r="D895" s="137"/>
      <c r="E895" s="12"/>
      <c r="F895" s="12"/>
    </row>
    <row r="896">
      <c r="A896" s="12"/>
      <c r="B896" s="135"/>
      <c r="C896" s="136"/>
      <c r="D896" s="137"/>
      <c r="E896" s="12"/>
      <c r="F896" s="12"/>
    </row>
    <row r="897">
      <c r="A897" s="12"/>
      <c r="B897" s="135"/>
      <c r="C897" s="136"/>
      <c r="D897" s="137"/>
      <c r="E897" s="12"/>
      <c r="F897" s="12"/>
    </row>
    <row r="898">
      <c r="A898" s="12"/>
      <c r="B898" s="135"/>
      <c r="C898" s="136"/>
      <c r="D898" s="137"/>
      <c r="E898" s="12"/>
      <c r="F898" s="12"/>
    </row>
    <row r="899">
      <c r="A899" s="12"/>
      <c r="B899" s="135"/>
      <c r="C899" s="136"/>
      <c r="D899" s="137"/>
      <c r="E899" s="12"/>
      <c r="F899" s="12"/>
    </row>
    <row r="900">
      <c r="A900" s="12"/>
      <c r="B900" s="135"/>
      <c r="C900" s="136"/>
      <c r="D900" s="137"/>
      <c r="E900" s="12"/>
      <c r="F900" s="12"/>
    </row>
    <row r="901">
      <c r="A901" s="12"/>
      <c r="B901" s="135"/>
      <c r="C901" s="136"/>
      <c r="D901" s="137"/>
      <c r="E901" s="12"/>
      <c r="F901" s="12"/>
    </row>
    <row r="902">
      <c r="A902" s="12"/>
      <c r="B902" s="135"/>
      <c r="C902" s="136"/>
      <c r="D902" s="137"/>
      <c r="E902" s="12"/>
      <c r="F902" s="12"/>
    </row>
    <row r="903">
      <c r="A903" s="12"/>
      <c r="B903" s="135"/>
      <c r="C903" s="136"/>
      <c r="D903" s="137"/>
      <c r="E903" s="12"/>
      <c r="F903" s="12"/>
    </row>
    <row r="904">
      <c r="A904" s="12"/>
      <c r="B904" s="135"/>
      <c r="C904" s="136"/>
      <c r="D904" s="137"/>
      <c r="E904" s="12"/>
      <c r="F904" s="12"/>
    </row>
    <row r="905">
      <c r="A905" s="12"/>
      <c r="B905" s="135"/>
      <c r="C905" s="136"/>
      <c r="D905" s="137"/>
      <c r="E905" s="12"/>
      <c r="F905" s="12"/>
    </row>
    <row r="906">
      <c r="A906" s="12"/>
      <c r="B906" s="135"/>
      <c r="C906" s="136"/>
      <c r="D906" s="137"/>
      <c r="E906" s="12"/>
      <c r="F906" s="12"/>
    </row>
    <row r="907">
      <c r="A907" s="12"/>
      <c r="B907" s="135"/>
      <c r="C907" s="136"/>
      <c r="D907" s="137"/>
      <c r="E907" s="12"/>
      <c r="F907" s="12"/>
    </row>
    <row r="908">
      <c r="A908" s="12"/>
      <c r="B908" s="135"/>
      <c r="C908" s="136"/>
      <c r="D908" s="137"/>
      <c r="E908" s="12"/>
      <c r="F908" s="12"/>
    </row>
    <row r="909">
      <c r="A909" s="12"/>
      <c r="B909" s="135"/>
      <c r="C909" s="136"/>
      <c r="D909" s="137"/>
      <c r="E909" s="12"/>
      <c r="F909" s="12"/>
    </row>
    <row r="910">
      <c r="A910" s="12"/>
      <c r="B910" s="135"/>
      <c r="C910" s="136"/>
      <c r="D910" s="137"/>
      <c r="E910" s="12"/>
      <c r="F910" s="12"/>
    </row>
    <row r="911">
      <c r="A911" s="12"/>
      <c r="B911" s="135"/>
      <c r="C911" s="136"/>
      <c r="D911" s="137"/>
      <c r="E911" s="12"/>
      <c r="F911" s="12"/>
    </row>
    <row r="912">
      <c r="A912" s="12"/>
      <c r="B912" s="135"/>
      <c r="C912" s="136"/>
      <c r="D912" s="137"/>
      <c r="E912" s="12"/>
      <c r="F912" s="12"/>
    </row>
    <row r="913">
      <c r="A913" s="12"/>
      <c r="B913" s="135"/>
      <c r="C913" s="136"/>
      <c r="D913" s="137"/>
      <c r="E913" s="12"/>
      <c r="F913" s="12"/>
    </row>
    <row r="914">
      <c r="A914" s="12"/>
      <c r="B914" s="135"/>
      <c r="C914" s="136"/>
      <c r="D914" s="137"/>
      <c r="E914" s="12"/>
      <c r="F914" s="12"/>
    </row>
    <row r="915">
      <c r="A915" s="12"/>
      <c r="B915" s="135"/>
      <c r="C915" s="136"/>
      <c r="D915" s="137"/>
      <c r="E915" s="12"/>
      <c r="F915" s="12"/>
    </row>
    <row r="916">
      <c r="A916" s="12"/>
      <c r="B916" s="135"/>
      <c r="C916" s="136"/>
      <c r="D916" s="137"/>
      <c r="E916" s="12"/>
      <c r="F916" s="12"/>
    </row>
    <row r="917">
      <c r="A917" s="12"/>
      <c r="B917" s="135"/>
      <c r="C917" s="136"/>
      <c r="D917" s="137"/>
      <c r="E917" s="12"/>
      <c r="F917" s="12"/>
    </row>
    <row r="918">
      <c r="A918" s="12"/>
      <c r="B918" s="135"/>
      <c r="C918" s="136"/>
      <c r="D918" s="137"/>
      <c r="E918" s="12"/>
      <c r="F918" s="12"/>
    </row>
    <row r="919">
      <c r="A919" s="12"/>
      <c r="B919" s="135"/>
      <c r="C919" s="136"/>
      <c r="D919" s="137"/>
      <c r="E919" s="12"/>
      <c r="F919" s="12"/>
    </row>
    <row r="920">
      <c r="A920" s="12"/>
      <c r="B920" s="135"/>
      <c r="C920" s="136"/>
      <c r="D920" s="137"/>
      <c r="E920" s="12"/>
      <c r="F920" s="12"/>
    </row>
    <row r="921">
      <c r="A921" s="12"/>
      <c r="B921" s="135"/>
      <c r="C921" s="136"/>
      <c r="D921" s="137"/>
      <c r="E921" s="12"/>
      <c r="F921" s="12"/>
    </row>
    <row r="922">
      <c r="A922" s="12"/>
      <c r="B922" s="135"/>
      <c r="C922" s="136"/>
      <c r="D922" s="137"/>
      <c r="E922" s="12"/>
      <c r="F922" s="12"/>
    </row>
    <row r="923">
      <c r="A923" s="12"/>
      <c r="B923" s="135"/>
      <c r="C923" s="136"/>
      <c r="D923" s="137"/>
      <c r="E923" s="12"/>
      <c r="F923" s="12"/>
    </row>
    <row r="924">
      <c r="A924" s="12"/>
      <c r="B924" s="135"/>
      <c r="C924" s="136"/>
      <c r="D924" s="137"/>
      <c r="E924" s="12"/>
      <c r="F924" s="12"/>
    </row>
    <row r="925">
      <c r="A925" s="12"/>
      <c r="B925" s="135"/>
      <c r="C925" s="136"/>
      <c r="D925" s="137"/>
      <c r="E925" s="12"/>
      <c r="F925" s="12"/>
    </row>
    <row r="926">
      <c r="A926" s="12"/>
      <c r="B926" s="135"/>
      <c r="C926" s="136"/>
      <c r="D926" s="137"/>
      <c r="E926" s="12"/>
      <c r="F926" s="12"/>
    </row>
    <row r="927">
      <c r="A927" s="12"/>
      <c r="B927" s="135"/>
      <c r="C927" s="136"/>
      <c r="D927" s="137"/>
      <c r="E927" s="12"/>
      <c r="F927" s="12"/>
    </row>
    <row r="928">
      <c r="A928" s="12"/>
      <c r="B928" s="135"/>
      <c r="C928" s="136"/>
      <c r="D928" s="137"/>
      <c r="E928" s="12"/>
      <c r="F928" s="12"/>
    </row>
    <row r="929">
      <c r="A929" s="12"/>
      <c r="B929" s="135"/>
      <c r="C929" s="136"/>
      <c r="D929" s="137"/>
      <c r="E929" s="12"/>
      <c r="F929" s="12"/>
    </row>
    <row r="930">
      <c r="A930" s="12"/>
      <c r="B930" s="135"/>
      <c r="C930" s="136"/>
      <c r="D930" s="137"/>
      <c r="E930" s="12"/>
      <c r="F930" s="12"/>
    </row>
    <row r="931">
      <c r="A931" s="12"/>
      <c r="B931" s="135"/>
      <c r="C931" s="136"/>
      <c r="D931" s="137"/>
      <c r="E931" s="12"/>
      <c r="F931" s="12"/>
    </row>
    <row r="932">
      <c r="A932" s="12"/>
      <c r="B932" s="135"/>
      <c r="C932" s="136"/>
      <c r="D932" s="137"/>
      <c r="E932" s="12"/>
      <c r="F932" s="12"/>
    </row>
    <row r="933">
      <c r="A933" s="12"/>
      <c r="B933" s="135"/>
      <c r="C933" s="136"/>
      <c r="D933" s="137"/>
      <c r="E933" s="12"/>
      <c r="F933" s="12"/>
    </row>
    <row r="934">
      <c r="A934" s="12"/>
      <c r="B934" s="135"/>
      <c r="C934" s="136"/>
      <c r="D934" s="137"/>
      <c r="E934" s="12"/>
      <c r="F934" s="12"/>
    </row>
    <row r="935">
      <c r="A935" s="12"/>
      <c r="B935" s="135"/>
      <c r="C935" s="136"/>
      <c r="D935" s="137"/>
      <c r="E935" s="12"/>
      <c r="F935" s="12"/>
    </row>
    <row r="936">
      <c r="A936" s="12"/>
      <c r="B936" s="135"/>
      <c r="C936" s="136"/>
      <c r="D936" s="137"/>
      <c r="E936" s="12"/>
      <c r="F936" s="12"/>
    </row>
    <row r="937">
      <c r="A937" s="12"/>
      <c r="B937" s="135"/>
      <c r="C937" s="136"/>
      <c r="D937" s="137"/>
      <c r="E937" s="12"/>
      <c r="F937" s="12"/>
    </row>
    <row r="938">
      <c r="A938" s="12"/>
      <c r="B938" s="135"/>
      <c r="C938" s="136"/>
      <c r="D938" s="137"/>
      <c r="E938" s="12"/>
      <c r="F938" s="12"/>
    </row>
    <row r="939">
      <c r="A939" s="12"/>
      <c r="B939" s="135"/>
      <c r="C939" s="136"/>
      <c r="D939" s="137"/>
      <c r="E939" s="12"/>
      <c r="F939" s="12"/>
    </row>
    <row r="940">
      <c r="A940" s="12"/>
      <c r="B940" s="135"/>
      <c r="C940" s="136"/>
      <c r="D940" s="137"/>
      <c r="E940" s="12"/>
      <c r="F940" s="12"/>
    </row>
    <row r="941">
      <c r="A941" s="12"/>
      <c r="B941" s="135"/>
      <c r="C941" s="136"/>
      <c r="D941" s="137"/>
      <c r="E941" s="12"/>
      <c r="F941" s="12"/>
    </row>
    <row r="942">
      <c r="A942" s="12"/>
      <c r="B942" s="135"/>
      <c r="C942" s="136"/>
      <c r="D942" s="137"/>
      <c r="E942" s="12"/>
      <c r="F942" s="12"/>
    </row>
    <row r="943">
      <c r="A943" s="12"/>
      <c r="B943" s="135"/>
      <c r="C943" s="136"/>
      <c r="D943" s="137"/>
      <c r="E943" s="12"/>
      <c r="F943" s="12"/>
    </row>
    <row r="944">
      <c r="A944" s="12"/>
      <c r="B944" s="135"/>
      <c r="C944" s="136"/>
      <c r="D944" s="137"/>
      <c r="E944" s="12"/>
      <c r="F944" s="12"/>
    </row>
    <row r="945">
      <c r="A945" s="12"/>
      <c r="B945" s="135"/>
      <c r="C945" s="136"/>
      <c r="D945" s="137"/>
      <c r="E945" s="12"/>
      <c r="F945" s="12"/>
    </row>
    <row r="946">
      <c r="A946" s="12"/>
      <c r="B946" s="135"/>
      <c r="C946" s="136"/>
      <c r="D946" s="137"/>
      <c r="E946" s="12"/>
      <c r="F946" s="12"/>
    </row>
    <row r="947">
      <c r="A947" s="12"/>
      <c r="B947" s="135"/>
      <c r="C947" s="136"/>
      <c r="D947" s="137"/>
      <c r="E947" s="12"/>
      <c r="F947" s="12"/>
    </row>
    <row r="948">
      <c r="A948" s="12"/>
      <c r="B948" s="135"/>
      <c r="C948" s="136"/>
      <c r="D948" s="137"/>
      <c r="E948" s="12"/>
      <c r="F948" s="12"/>
    </row>
    <row r="949">
      <c r="A949" s="12"/>
      <c r="B949" s="135"/>
      <c r="C949" s="136"/>
      <c r="D949" s="137"/>
      <c r="E949" s="12"/>
      <c r="F949" s="12"/>
    </row>
    <row r="950">
      <c r="A950" s="12"/>
      <c r="B950" s="135"/>
      <c r="C950" s="136"/>
      <c r="D950" s="137"/>
      <c r="E950" s="12"/>
      <c r="F950" s="12"/>
    </row>
    <row r="951">
      <c r="A951" s="12"/>
      <c r="B951" s="135"/>
      <c r="C951" s="136"/>
      <c r="D951" s="137"/>
      <c r="E951" s="12"/>
      <c r="F951" s="12"/>
    </row>
    <row r="952">
      <c r="A952" s="12"/>
      <c r="B952" s="135"/>
      <c r="C952" s="136"/>
      <c r="D952" s="137"/>
      <c r="E952" s="12"/>
      <c r="F952" s="12"/>
    </row>
    <row r="953">
      <c r="A953" s="12"/>
      <c r="B953" s="135"/>
      <c r="C953" s="136"/>
      <c r="D953" s="137"/>
      <c r="E953" s="12"/>
      <c r="F953" s="12"/>
    </row>
    <row r="954">
      <c r="A954" s="12"/>
      <c r="B954" s="135"/>
      <c r="C954" s="136"/>
      <c r="D954" s="137"/>
      <c r="E954" s="12"/>
      <c r="F954" s="12"/>
    </row>
    <row r="955">
      <c r="A955" s="12"/>
      <c r="B955" s="135"/>
      <c r="C955" s="136"/>
      <c r="D955" s="137"/>
      <c r="E955" s="12"/>
      <c r="F955" s="12"/>
    </row>
    <row r="956">
      <c r="A956" s="12"/>
      <c r="B956" s="135"/>
      <c r="C956" s="136"/>
      <c r="D956" s="137"/>
      <c r="E956" s="12"/>
      <c r="F956" s="12"/>
    </row>
    <row r="957">
      <c r="A957" s="12"/>
      <c r="B957" s="135"/>
      <c r="C957" s="136"/>
      <c r="D957" s="137"/>
      <c r="E957" s="12"/>
      <c r="F957" s="12"/>
    </row>
    <row r="958">
      <c r="A958" s="12"/>
      <c r="B958" s="135"/>
      <c r="C958" s="136"/>
      <c r="D958" s="137"/>
      <c r="E958" s="12"/>
      <c r="F958" s="12"/>
    </row>
    <row r="959">
      <c r="A959" s="12"/>
      <c r="B959" s="135"/>
      <c r="C959" s="136"/>
      <c r="D959" s="137"/>
      <c r="E959" s="12"/>
      <c r="F959" s="12"/>
    </row>
    <row r="960">
      <c r="A960" s="12"/>
      <c r="B960" s="135"/>
      <c r="C960" s="136"/>
      <c r="D960" s="137"/>
      <c r="E960" s="12"/>
      <c r="F960" s="12"/>
    </row>
    <row r="961">
      <c r="A961" s="12"/>
      <c r="B961" s="135"/>
      <c r="C961" s="136"/>
      <c r="D961" s="137"/>
      <c r="E961" s="12"/>
      <c r="F961" s="12"/>
    </row>
    <row r="962">
      <c r="A962" s="12"/>
      <c r="B962" s="135"/>
      <c r="C962" s="136"/>
      <c r="D962" s="137"/>
      <c r="E962" s="12"/>
      <c r="F962" s="12"/>
    </row>
    <row r="963">
      <c r="A963" s="12"/>
      <c r="B963" s="135"/>
      <c r="C963" s="136"/>
      <c r="D963" s="137"/>
      <c r="E963" s="12"/>
      <c r="F963" s="12"/>
    </row>
    <row r="964">
      <c r="A964" s="12"/>
      <c r="B964" s="135"/>
      <c r="C964" s="136"/>
      <c r="D964" s="137"/>
      <c r="E964" s="12"/>
      <c r="F964" s="12"/>
    </row>
    <row r="965">
      <c r="A965" s="12"/>
      <c r="B965" s="135"/>
      <c r="C965" s="136"/>
      <c r="D965" s="137"/>
      <c r="E965" s="12"/>
      <c r="F965" s="12"/>
    </row>
    <row r="966">
      <c r="A966" s="12"/>
      <c r="B966" s="135"/>
      <c r="C966" s="136"/>
      <c r="D966" s="137"/>
      <c r="E966" s="12"/>
      <c r="F966" s="12"/>
    </row>
    <row r="967">
      <c r="A967" s="12"/>
      <c r="B967" s="135"/>
      <c r="C967" s="136"/>
      <c r="D967" s="137"/>
      <c r="E967" s="12"/>
      <c r="F967" s="12"/>
    </row>
    <row r="968">
      <c r="A968" s="12"/>
      <c r="B968" s="135"/>
      <c r="C968" s="136"/>
      <c r="D968" s="137"/>
      <c r="E968" s="12"/>
      <c r="F968" s="12"/>
    </row>
    <row r="969">
      <c r="A969" s="12"/>
      <c r="B969" s="135"/>
      <c r="C969" s="136"/>
      <c r="D969" s="137"/>
      <c r="E969" s="12"/>
      <c r="F969" s="12"/>
    </row>
    <row r="970">
      <c r="A970" s="12"/>
      <c r="B970" s="135"/>
      <c r="C970" s="136"/>
      <c r="D970" s="137"/>
      <c r="E970" s="12"/>
      <c r="F970" s="12"/>
    </row>
    <row r="971">
      <c r="A971" s="12"/>
      <c r="B971" s="135"/>
      <c r="C971" s="136"/>
      <c r="D971" s="137"/>
      <c r="E971" s="12"/>
      <c r="F971" s="12"/>
    </row>
    <row r="972">
      <c r="A972" s="12"/>
      <c r="B972" s="135"/>
      <c r="C972" s="136"/>
      <c r="D972" s="137"/>
      <c r="E972" s="12"/>
      <c r="F972" s="12"/>
    </row>
    <row r="973">
      <c r="A973" s="12"/>
      <c r="B973" s="135"/>
      <c r="C973" s="136"/>
      <c r="D973" s="137"/>
      <c r="E973" s="12"/>
      <c r="F973" s="12"/>
    </row>
    <row r="974">
      <c r="A974" s="12"/>
      <c r="B974" s="135"/>
      <c r="C974" s="136"/>
      <c r="D974" s="137"/>
      <c r="E974" s="12"/>
      <c r="F974" s="12"/>
    </row>
    <row r="975">
      <c r="A975" s="12"/>
      <c r="B975" s="135"/>
      <c r="C975" s="136"/>
      <c r="D975" s="137"/>
      <c r="E975" s="12"/>
      <c r="F975" s="12"/>
    </row>
    <row r="976">
      <c r="A976" s="12"/>
      <c r="B976" s="135"/>
      <c r="C976" s="136"/>
      <c r="D976" s="137"/>
      <c r="E976" s="12"/>
      <c r="F976" s="12"/>
    </row>
    <row r="977">
      <c r="A977" s="12"/>
      <c r="B977" s="135"/>
      <c r="C977" s="136"/>
      <c r="D977" s="137"/>
      <c r="E977" s="12"/>
      <c r="F977" s="12"/>
    </row>
    <row r="978">
      <c r="A978" s="12"/>
      <c r="B978" s="135"/>
      <c r="C978" s="136"/>
      <c r="D978" s="137"/>
      <c r="E978" s="12"/>
      <c r="F978" s="12"/>
    </row>
    <row r="979">
      <c r="A979" s="12"/>
      <c r="B979" s="135"/>
      <c r="C979" s="136"/>
      <c r="D979" s="137"/>
      <c r="E979" s="12"/>
      <c r="F979" s="12"/>
    </row>
    <row r="980">
      <c r="A980" s="12"/>
      <c r="B980" s="135"/>
      <c r="C980" s="136"/>
      <c r="D980" s="137"/>
      <c r="E980" s="12"/>
      <c r="F980" s="12"/>
    </row>
    <row r="981">
      <c r="A981" s="12"/>
      <c r="B981" s="135"/>
      <c r="C981" s="136"/>
      <c r="D981" s="137"/>
      <c r="E981" s="12"/>
      <c r="F981" s="12"/>
    </row>
    <row r="982">
      <c r="A982" s="12"/>
      <c r="B982" s="135"/>
      <c r="C982" s="136"/>
      <c r="D982" s="137"/>
      <c r="E982" s="12"/>
      <c r="F982" s="12"/>
    </row>
    <row r="983">
      <c r="A983" s="12"/>
      <c r="B983" s="135"/>
      <c r="C983" s="136"/>
      <c r="D983" s="137"/>
      <c r="E983" s="12"/>
      <c r="F983" s="12"/>
    </row>
    <row r="984">
      <c r="A984" s="12"/>
      <c r="B984" s="135"/>
      <c r="C984" s="136"/>
      <c r="D984" s="137"/>
      <c r="E984" s="12"/>
      <c r="F984" s="12"/>
    </row>
    <row r="985">
      <c r="A985" s="12"/>
      <c r="B985" s="135"/>
      <c r="C985" s="136"/>
      <c r="D985" s="137"/>
      <c r="E985" s="12"/>
      <c r="F985" s="12"/>
    </row>
    <row r="986">
      <c r="A986" s="12"/>
      <c r="B986" s="135"/>
      <c r="C986" s="136"/>
      <c r="D986" s="137"/>
      <c r="E986" s="12"/>
      <c r="F986" s="12"/>
    </row>
    <row r="987">
      <c r="A987" s="12"/>
      <c r="B987" s="135"/>
      <c r="C987" s="136"/>
      <c r="D987" s="137"/>
      <c r="E987" s="12"/>
      <c r="F987" s="12"/>
    </row>
    <row r="988">
      <c r="A988" s="12"/>
      <c r="B988" s="135"/>
      <c r="C988" s="136"/>
      <c r="D988" s="137"/>
      <c r="E988" s="12"/>
      <c r="F988" s="12"/>
    </row>
    <row r="989">
      <c r="A989" s="12"/>
      <c r="B989" s="135"/>
      <c r="C989" s="136"/>
      <c r="D989" s="137"/>
      <c r="E989" s="12"/>
      <c r="F989" s="12"/>
    </row>
    <row r="990">
      <c r="A990" s="12"/>
      <c r="B990" s="135"/>
      <c r="C990" s="136"/>
      <c r="D990" s="137"/>
      <c r="E990" s="12"/>
      <c r="F990" s="12"/>
    </row>
    <row r="991">
      <c r="A991" s="12"/>
      <c r="B991" s="135"/>
      <c r="C991" s="136"/>
      <c r="D991" s="137"/>
      <c r="E991" s="12"/>
      <c r="F991" s="12"/>
    </row>
    <row r="992">
      <c r="A992" s="12"/>
      <c r="B992" s="135"/>
      <c r="C992" s="136"/>
      <c r="D992" s="137"/>
      <c r="E992" s="12"/>
      <c r="F992" s="12"/>
    </row>
    <row r="993">
      <c r="A993" s="12"/>
      <c r="B993" s="135"/>
      <c r="C993" s="136"/>
      <c r="D993" s="137"/>
      <c r="E993" s="12"/>
      <c r="F993" s="12"/>
    </row>
    <row r="994">
      <c r="A994" s="12"/>
      <c r="B994" s="135"/>
      <c r="C994" s="136"/>
      <c r="D994" s="137"/>
      <c r="E994" s="12"/>
      <c r="F994" s="12"/>
    </row>
    <row r="995">
      <c r="A995" s="12"/>
      <c r="B995" s="135"/>
      <c r="C995" s="136"/>
      <c r="D995" s="137"/>
      <c r="E995" s="12"/>
      <c r="F995" s="12"/>
    </row>
    <row r="996">
      <c r="A996" s="12"/>
      <c r="B996" s="135"/>
      <c r="C996" s="136"/>
      <c r="D996" s="137"/>
      <c r="E996" s="12"/>
      <c r="F996" s="12"/>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57.88"/>
    <col customWidth="1" min="3" max="3" width="9.0"/>
    <col customWidth="1" min="4" max="4" width="23.5"/>
    <col customWidth="1" min="6" max="6" width="20.13"/>
  </cols>
  <sheetData>
    <row r="1">
      <c r="A1" s="28" t="s">
        <v>21</v>
      </c>
      <c r="B1" s="2" t="s">
        <v>185</v>
      </c>
      <c r="C1" s="14" t="s">
        <v>186</v>
      </c>
      <c r="D1" s="138" t="s">
        <v>187</v>
      </c>
      <c r="E1" s="139" t="s">
        <v>188</v>
      </c>
      <c r="F1" s="140" t="s">
        <v>189</v>
      </c>
      <c r="G1" s="31"/>
      <c r="H1" s="31"/>
      <c r="I1" s="31"/>
      <c r="J1" s="31"/>
      <c r="K1" s="31"/>
      <c r="L1" s="31"/>
      <c r="M1" s="31"/>
      <c r="N1" s="31"/>
      <c r="O1" s="31"/>
      <c r="P1" s="31"/>
      <c r="Q1" s="31"/>
      <c r="R1" s="31"/>
      <c r="S1" s="31"/>
      <c r="T1" s="31"/>
      <c r="U1" s="31"/>
      <c r="V1" s="31"/>
      <c r="W1" s="31"/>
      <c r="X1" s="31"/>
      <c r="Y1" s="31"/>
      <c r="Z1" s="31"/>
    </row>
    <row r="2">
      <c r="A2" s="110">
        <v>30.0</v>
      </c>
      <c r="B2" s="141" t="s">
        <v>190</v>
      </c>
      <c r="C2" s="5">
        <v>2022.0</v>
      </c>
      <c r="D2" s="5" t="b">
        <v>1</v>
      </c>
    </row>
    <row r="3">
      <c r="A3" s="110">
        <v>191.97</v>
      </c>
      <c r="B3" s="141" t="s">
        <v>191</v>
      </c>
      <c r="C3" s="5">
        <v>2021.0</v>
      </c>
      <c r="D3" s="5" t="b">
        <v>1</v>
      </c>
    </row>
    <row r="4">
      <c r="A4" s="110">
        <v>89.61</v>
      </c>
      <c r="B4" s="141" t="s">
        <v>192</v>
      </c>
      <c r="C4" s="5">
        <v>2021.0</v>
      </c>
      <c r="D4" s="5" t="b">
        <v>0</v>
      </c>
      <c r="E4" s="142">
        <f>SUM(A:A)</f>
        <v>10164.85</v>
      </c>
      <c r="F4" s="143">
        <f>SUMIF(D:D,"=FALSE",A:A)</f>
        <v>8889.52</v>
      </c>
    </row>
    <row r="5">
      <c r="A5" s="110">
        <v>107.48</v>
      </c>
      <c r="B5" s="141" t="s">
        <v>193</v>
      </c>
      <c r="C5" s="5">
        <v>2021.0</v>
      </c>
      <c r="D5" s="5" t="b">
        <v>0</v>
      </c>
    </row>
    <row r="6">
      <c r="A6" s="110">
        <v>240.0</v>
      </c>
      <c r="B6" s="141" t="s">
        <v>194</v>
      </c>
      <c r="C6" s="5">
        <v>2021.0</v>
      </c>
      <c r="D6" s="5" t="b">
        <v>0</v>
      </c>
    </row>
    <row r="7">
      <c r="A7" s="110">
        <v>18.0</v>
      </c>
      <c r="B7" s="141" t="s">
        <v>195</v>
      </c>
      <c r="C7" s="5">
        <v>2021.0</v>
      </c>
      <c r="D7" s="5" t="b">
        <v>1</v>
      </c>
    </row>
    <row r="8">
      <c r="A8" s="110">
        <v>60.0</v>
      </c>
      <c r="B8" s="141" t="s">
        <v>196</v>
      </c>
      <c r="C8" s="5">
        <v>2021.0</v>
      </c>
      <c r="D8" s="5" t="b">
        <v>1</v>
      </c>
    </row>
    <row r="9">
      <c r="A9" s="110">
        <v>35.57</v>
      </c>
      <c r="B9" s="141" t="s">
        <v>197</v>
      </c>
      <c r="C9" s="5">
        <v>2021.0</v>
      </c>
      <c r="D9" s="5" t="b">
        <v>1</v>
      </c>
    </row>
    <row r="10">
      <c r="A10" s="110">
        <v>45.4</v>
      </c>
      <c r="B10" s="141" t="s">
        <v>198</v>
      </c>
      <c r="C10" s="5">
        <v>2021.0</v>
      </c>
      <c r="D10" s="5" t="b">
        <v>1</v>
      </c>
    </row>
    <row r="11">
      <c r="A11" s="110">
        <v>350.0</v>
      </c>
      <c r="B11" s="141" t="s">
        <v>199</v>
      </c>
      <c r="C11" s="5">
        <v>2021.0</v>
      </c>
      <c r="D11" s="5" t="b">
        <v>0</v>
      </c>
    </row>
    <row r="12">
      <c r="A12" s="110">
        <v>34.0</v>
      </c>
      <c r="B12" s="141" t="s">
        <v>200</v>
      </c>
      <c r="C12" s="5">
        <v>2022.0</v>
      </c>
      <c r="D12" s="144" t="b">
        <v>0</v>
      </c>
    </row>
    <row r="13">
      <c r="A13" s="110">
        <v>39.0</v>
      </c>
      <c r="B13" s="141" t="s">
        <v>201</v>
      </c>
      <c r="C13" s="5">
        <v>2022.0</v>
      </c>
      <c r="D13" s="144" t="b">
        <v>0</v>
      </c>
    </row>
    <row r="14">
      <c r="A14" s="145">
        <v>60.0</v>
      </c>
      <c r="B14" s="6" t="s">
        <v>202</v>
      </c>
      <c r="C14" s="5">
        <v>2022.0</v>
      </c>
      <c r="D14" s="5" t="b">
        <v>0</v>
      </c>
    </row>
    <row r="15">
      <c r="A15" s="110">
        <v>63.21</v>
      </c>
      <c r="B15" s="141" t="s">
        <v>203</v>
      </c>
      <c r="C15" s="5">
        <v>2022.0</v>
      </c>
      <c r="D15" s="5" t="b">
        <v>0</v>
      </c>
    </row>
    <row r="16">
      <c r="A16" s="110">
        <v>120.0</v>
      </c>
      <c r="B16" s="141" t="s">
        <v>204</v>
      </c>
      <c r="C16" s="5">
        <v>2022.0</v>
      </c>
      <c r="D16" s="144" t="b">
        <v>0</v>
      </c>
    </row>
    <row r="17">
      <c r="A17" s="110">
        <v>25.0</v>
      </c>
      <c r="B17" s="146" t="s">
        <v>205</v>
      </c>
      <c r="C17" s="5">
        <v>2022.0</v>
      </c>
      <c r="D17" s="5" t="b">
        <v>1</v>
      </c>
    </row>
    <row r="18">
      <c r="A18" s="110">
        <v>5.99</v>
      </c>
      <c r="B18" s="141" t="s">
        <v>206</v>
      </c>
      <c r="C18" s="5">
        <v>2022.0</v>
      </c>
      <c r="D18" s="5" t="b">
        <v>1</v>
      </c>
    </row>
    <row r="19">
      <c r="A19" s="110">
        <v>6.99</v>
      </c>
      <c r="B19" s="141" t="s">
        <v>207</v>
      </c>
      <c r="C19" s="5">
        <v>2022.0</v>
      </c>
      <c r="D19" s="5" t="b">
        <v>1</v>
      </c>
    </row>
    <row r="20">
      <c r="A20" s="110">
        <v>26.0</v>
      </c>
      <c r="B20" s="141" t="s">
        <v>208</v>
      </c>
      <c r="C20" s="5">
        <v>2022.0</v>
      </c>
      <c r="D20" s="5" t="b">
        <v>1</v>
      </c>
    </row>
    <row r="21">
      <c r="A21" s="110">
        <v>15.0</v>
      </c>
      <c r="B21" s="141" t="s">
        <v>209</v>
      </c>
      <c r="C21" s="5">
        <v>2022.0</v>
      </c>
      <c r="D21" s="5" t="b">
        <v>1</v>
      </c>
    </row>
    <row r="22">
      <c r="A22" s="110">
        <v>30.0</v>
      </c>
      <c r="B22" s="141" t="s">
        <v>210</v>
      </c>
      <c r="C22" s="5">
        <v>2022.0</v>
      </c>
      <c r="D22" s="5" t="b">
        <v>1</v>
      </c>
    </row>
    <row r="23">
      <c r="A23" s="110">
        <v>13.0</v>
      </c>
      <c r="B23" s="141" t="s">
        <v>211</v>
      </c>
      <c r="C23" s="5">
        <v>2022.0</v>
      </c>
      <c r="D23" s="5" t="b">
        <v>1</v>
      </c>
    </row>
    <row r="24">
      <c r="A24" s="110">
        <v>9.73</v>
      </c>
      <c r="B24" s="141" t="s">
        <v>212</v>
      </c>
      <c r="C24" s="5">
        <v>2022.0</v>
      </c>
      <c r="D24" s="5" t="b">
        <v>1</v>
      </c>
    </row>
    <row r="25">
      <c r="A25" s="110">
        <v>60.0</v>
      </c>
      <c r="B25" s="141" t="s">
        <v>213</v>
      </c>
      <c r="C25" s="5">
        <v>2022.0</v>
      </c>
      <c r="D25" s="5" t="b">
        <v>1</v>
      </c>
    </row>
    <row r="26">
      <c r="A26" s="110">
        <v>20.0</v>
      </c>
      <c r="B26" s="141" t="s">
        <v>214</v>
      </c>
      <c r="C26" s="5">
        <v>2022.0</v>
      </c>
      <c r="D26" s="5" t="b">
        <v>1</v>
      </c>
    </row>
    <row r="27">
      <c r="A27" s="110">
        <v>7.29</v>
      </c>
      <c r="B27" s="141" t="s">
        <v>215</v>
      </c>
      <c r="C27" s="5">
        <v>2022.0</v>
      </c>
      <c r="D27" s="5" t="b">
        <v>1</v>
      </c>
    </row>
    <row r="28">
      <c r="A28" s="110">
        <v>86.0</v>
      </c>
      <c r="B28" s="141" t="s">
        <v>216</v>
      </c>
      <c r="C28" s="5">
        <v>2022.0</v>
      </c>
      <c r="D28" s="5" t="b">
        <v>1</v>
      </c>
    </row>
    <row r="29">
      <c r="A29" s="110">
        <v>62.0</v>
      </c>
      <c r="B29" s="141" t="s">
        <v>217</v>
      </c>
      <c r="C29" s="5">
        <v>2022.0</v>
      </c>
      <c r="D29" s="5" t="b">
        <v>1</v>
      </c>
    </row>
    <row r="30">
      <c r="A30" s="110">
        <v>60.0</v>
      </c>
      <c r="B30" s="141" t="s">
        <v>218</v>
      </c>
      <c r="C30" s="5">
        <v>2022.0</v>
      </c>
      <c r="D30" s="5" t="b">
        <v>1</v>
      </c>
    </row>
    <row r="31">
      <c r="A31" s="110">
        <v>30.0</v>
      </c>
      <c r="B31" s="141" t="s">
        <v>219</v>
      </c>
      <c r="C31" s="5">
        <v>2022.0</v>
      </c>
      <c r="D31" s="5" t="b">
        <v>1</v>
      </c>
    </row>
    <row r="32">
      <c r="A32" s="145">
        <v>139.0</v>
      </c>
      <c r="B32" s="6" t="s">
        <v>220</v>
      </c>
      <c r="C32" s="5">
        <v>2022.0</v>
      </c>
      <c r="D32" s="5" t="b">
        <v>0</v>
      </c>
    </row>
    <row r="33">
      <c r="A33" s="110">
        <v>250.0</v>
      </c>
      <c r="B33" s="141" t="s">
        <v>221</v>
      </c>
      <c r="C33" s="5">
        <v>2022.0</v>
      </c>
      <c r="D33" s="144" t="b">
        <v>0</v>
      </c>
    </row>
    <row r="34">
      <c r="A34" s="145">
        <v>300.0</v>
      </c>
      <c r="B34" s="6" t="s">
        <v>222</v>
      </c>
      <c r="C34" s="5">
        <v>2022.0</v>
      </c>
      <c r="D34" s="5" t="b">
        <v>0</v>
      </c>
    </row>
    <row r="35">
      <c r="A35" s="145">
        <v>15.94</v>
      </c>
      <c r="B35" s="6" t="s">
        <v>223</v>
      </c>
      <c r="C35" s="5">
        <v>2022.0</v>
      </c>
      <c r="D35" s="5" t="b">
        <v>1</v>
      </c>
    </row>
    <row r="36">
      <c r="A36" s="145">
        <v>25.0</v>
      </c>
      <c r="B36" s="6" t="s">
        <v>223</v>
      </c>
      <c r="C36" s="5">
        <v>2022.0</v>
      </c>
      <c r="D36" s="5" t="b">
        <v>1</v>
      </c>
    </row>
    <row r="37">
      <c r="A37" s="145">
        <v>50.0</v>
      </c>
      <c r="B37" s="6" t="s">
        <v>224</v>
      </c>
      <c r="C37" s="5">
        <v>2023.0</v>
      </c>
      <c r="D37" s="5" t="b">
        <v>0</v>
      </c>
    </row>
    <row r="38" ht="18.0" customHeight="1">
      <c r="A38" s="145">
        <v>50.0</v>
      </c>
      <c r="B38" s="6" t="s">
        <v>224</v>
      </c>
      <c r="C38" s="5">
        <v>2023.0</v>
      </c>
      <c r="D38" s="5" t="b">
        <v>0</v>
      </c>
    </row>
    <row r="39">
      <c r="A39" s="145">
        <v>50.0</v>
      </c>
      <c r="B39" s="6" t="s">
        <v>224</v>
      </c>
      <c r="C39" s="5">
        <v>2023.0</v>
      </c>
      <c r="D39" s="5" t="b">
        <v>0</v>
      </c>
    </row>
    <row r="40">
      <c r="A40" s="145">
        <v>50.0</v>
      </c>
      <c r="B40" s="6" t="s">
        <v>224</v>
      </c>
      <c r="C40" s="5">
        <v>2023.0</v>
      </c>
      <c r="D40" s="5" t="b">
        <v>0</v>
      </c>
    </row>
    <row r="41">
      <c r="A41" s="145">
        <v>50.0</v>
      </c>
      <c r="B41" s="6" t="s">
        <v>224</v>
      </c>
      <c r="C41" s="5">
        <v>2023.0</v>
      </c>
      <c r="D41" s="5" t="b">
        <v>0</v>
      </c>
    </row>
    <row r="42">
      <c r="A42" s="145">
        <v>50.0</v>
      </c>
      <c r="B42" s="6" t="s">
        <v>224</v>
      </c>
      <c r="C42" s="5">
        <v>2023.0</v>
      </c>
      <c r="D42" s="5" t="b">
        <v>0</v>
      </c>
    </row>
    <row r="43">
      <c r="A43" s="145">
        <v>34.2</v>
      </c>
      <c r="B43" s="6" t="s">
        <v>225</v>
      </c>
      <c r="C43" s="5">
        <v>2023.0</v>
      </c>
      <c r="D43" s="5" t="b">
        <v>1</v>
      </c>
    </row>
    <row r="44">
      <c r="A44" s="145">
        <v>140.0</v>
      </c>
      <c r="B44" s="6" t="s">
        <v>226</v>
      </c>
      <c r="C44" s="5">
        <v>2023.0</v>
      </c>
      <c r="D44" s="5" t="b">
        <v>0</v>
      </c>
    </row>
    <row r="45">
      <c r="A45" s="145">
        <v>13.25</v>
      </c>
      <c r="B45" s="6" t="s">
        <v>227</v>
      </c>
      <c r="C45" s="5">
        <v>2023.0</v>
      </c>
      <c r="D45" s="5" t="b">
        <v>1</v>
      </c>
    </row>
    <row r="46">
      <c r="A46" s="145">
        <v>140.0</v>
      </c>
      <c r="B46" s="6" t="s">
        <v>228</v>
      </c>
      <c r="C46" s="5">
        <v>2023.0</v>
      </c>
      <c r="D46" s="5" t="b">
        <v>0</v>
      </c>
    </row>
    <row r="47">
      <c r="A47" s="145">
        <v>140.0</v>
      </c>
      <c r="B47" s="6" t="s">
        <v>229</v>
      </c>
      <c r="C47" s="5">
        <v>2023.0</v>
      </c>
      <c r="D47" s="5" t="b">
        <v>0</v>
      </c>
    </row>
    <row r="48">
      <c r="A48" s="145">
        <v>140.0</v>
      </c>
      <c r="B48" s="6" t="s">
        <v>230</v>
      </c>
      <c r="C48" s="5">
        <v>2023.0</v>
      </c>
      <c r="D48" s="5" t="b">
        <v>0</v>
      </c>
    </row>
    <row r="49">
      <c r="A49" s="145">
        <v>140.0</v>
      </c>
      <c r="B49" s="6" t="s">
        <v>231</v>
      </c>
      <c r="C49" s="5">
        <v>2023.0</v>
      </c>
      <c r="D49" s="5" t="b">
        <v>0</v>
      </c>
    </row>
    <row r="50">
      <c r="A50" s="145">
        <v>140.0</v>
      </c>
      <c r="B50" s="6" t="s">
        <v>232</v>
      </c>
      <c r="C50" s="5">
        <v>2023.0</v>
      </c>
      <c r="D50" s="5" t="b">
        <v>0</v>
      </c>
    </row>
    <row r="51">
      <c r="A51" s="145">
        <v>140.0</v>
      </c>
      <c r="B51" s="6" t="s">
        <v>233</v>
      </c>
      <c r="C51" s="5">
        <v>2023.0</v>
      </c>
      <c r="D51" s="5" t="b">
        <v>0</v>
      </c>
    </row>
    <row r="52">
      <c r="A52" s="145">
        <v>140.0</v>
      </c>
      <c r="B52" s="6" t="s">
        <v>234</v>
      </c>
      <c r="C52" s="5">
        <v>2023.0</v>
      </c>
      <c r="D52" s="5" t="b">
        <v>0</v>
      </c>
    </row>
    <row r="53">
      <c r="A53" s="145">
        <v>140.0</v>
      </c>
      <c r="B53" s="6" t="s">
        <v>235</v>
      </c>
      <c r="C53" s="5">
        <v>2023.0</v>
      </c>
      <c r="D53" s="5" t="b">
        <v>0</v>
      </c>
    </row>
    <row r="54">
      <c r="A54" s="145">
        <v>140.0</v>
      </c>
      <c r="B54" s="6" t="s">
        <v>236</v>
      </c>
      <c r="C54" s="5">
        <v>2023.0</v>
      </c>
      <c r="D54" s="5" t="b">
        <v>0</v>
      </c>
    </row>
    <row r="55">
      <c r="A55" s="145">
        <v>140.0</v>
      </c>
      <c r="B55" s="6" t="s">
        <v>237</v>
      </c>
      <c r="C55" s="5">
        <v>2023.0</v>
      </c>
      <c r="D55" s="5" t="b">
        <v>0</v>
      </c>
    </row>
    <row r="56">
      <c r="A56" s="145">
        <v>50.0</v>
      </c>
      <c r="B56" s="6" t="s">
        <v>224</v>
      </c>
      <c r="C56" s="5">
        <v>2023.0</v>
      </c>
      <c r="D56" s="5" t="b">
        <v>1</v>
      </c>
    </row>
    <row r="57">
      <c r="A57" s="145">
        <v>175.0</v>
      </c>
      <c r="B57" s="6" t="s">
        <v>238</v>
      </c>
      <c r="C57" s="5">
        <v>2023.0</v>
      </c>
      <c r="D57" s="5" t="b">
        <v>0</v>
      </c>
    </row>
    <row r="58">
      <c r="A58" s="145">
        <v>50.0</v>
      </c>
      <c r="B58" s="6" t="s">
        <v>224</v>
      </c>
      <c r="C58" s="5">
        <v>2024.0</v>
      </c>
      <c r="D58" s="5" t="b">
        <v>1</v>
      </c>
    </row>
    <row r="59">
      <c r="A59" s="145">
        <v>50.0</v>
      </c>
      <c r="B59" s="6" t="s">
        <v>224</v>
      </c>
      <c r="C59" s="5">
        <v>2024.0</v>
      </c>
      <c r="D59" s="5" t="b">
        <v>1</v>
      </c>
    </row>
    <row r="60">
      <c r="A60" s="145">
        <v>38.0</v>
      </c>
      <c r="B60" s="6" t="s">
        <v>239</v>
      </c>
      <c r="C60" s="5">
        <v>2024.0</v>
      </c>
      <c r="D60" s="5" t="b">
        <v>0</v>
      </c>
    </row>
    <row r="61">
      <c r="A61" s="145">
        <v>50.0</v>
      </c>
      <c r="B61" s="6" t="s">
        <v>224</v>
      </c>
      <c r="C61" s="5">
        <v>2024.0</v>
      </c>
      <c r="D61" s="5" t="b">
        <v>0</v>
      </c>
    </row>
    <row r="62">
      <c r="A62" s="145">
        <v>50.0</v>
      </c>
      <c r="B62" s="6" t="s">
        <v>224</v>
      </c>
      <c r="C62" s="5">
        <v>2024.0</v>
      </c>
      <c r="D62" s="5" t="b">
        <v>0</v>
      </c>
    </row>
    <row r="63">
      <c r="A63" s="145">
        <v>149.0</v>
      </c>
      <c r="B63" s="6" t="s">
        <v>240</v>
      </c>
      <c r="C63" s="5">
        <v>2024.0</v>
      </c>
      <c r="D63" s="5" t="b">
        <v>1</v>
      </c>
    </row>
    <row r="64">
      <c r="A64" s="145">
        <v>50.0</v>
      </c>
      <c r="B64" s="6" t="s">
        <v>224</v>
      </c>
      <c r="C64" s="5">
        <v>2024.0</v>
      </c>
      <c r="D64" s="5" t="b">
        <v>0</v>
      </c>
    </row>
    <row r="65">
      <c r="A65" s="145">
        <v>50.0</v>
      </c>
      <c r="B65" s="6" t="s">
        <v>224</v>
      </c>
      <c r="C65" s="5">
        <v>2024.0</v>
      </c>
      <c r="D65" s="5" t="b">
        <v>0</v>
      </c>
    </row>
    <row r="66">
      <c r="A66" s="145">
        <v>50.0</v>
      </c>
      <c r="B66" s="6" t="s">
        <v>224</v>
      </c>
      <c r="C66" s="5">
        <v>2024.0</v>
      </c>
      <c r="D66" s="5" t="b">
        <v>0</v>
      </c>
    </row>
    <row r="67">
      <c r="A67" s="145">
        <v>50.0</v>
      </c>
      <c r="B67" s="6" t="s">
        <v>224</v>
      </c>
      <c r="C67" s="5">
        <v>2024.0</v>
      </c>
      <c r="D67" s="5" t="b">
        <v>0</v>
      </c>
    </row>
    <row r="68">
      <c r="A68" s="145">
        <v>50.0</v>
      </c>
      <c r="B68" s="6" t="s">
        <v>224</v>
      </c>
      <c r="C68" s="5">
        <v>2024.0</v>
      </c>
      <c r="D68" s="5" t="b">
        <v>0</v>
      </c>
    </row>
    <row r="69">
      <c r="A69" s="147">
        <v>50.0</v>
      </c>
      <c r="B69" s="148" t="s">
        <v>224</v>
      </c>
      <c r="C69" s="149">
        <v>2024.0</v>
      </c>
      <c r="D69" s="5" t="b">
        <v>0</v>
      </c>
      <c r="E69" s="18"/>
      <c r="F69" s="18"/>
    </row>
    <row r="70">
      <c r="A70" s="145">
        <v>62.0</v>
      </c>
      <c r="B70" s="109" t="s">
        <v>241</v>
      </c>
      <c r="C70" s="5">
        <v>2024.0</v>
      </c>
      <c r="D70" s="5" t="b">
        <v>0</v>
      </c>
    </row>
    <row r="71">
      <c r="A71" s="145">
        <v>68.0</v>
      </c>
      <c r="B71" s="6" t="s">
        <v>242</v>
      </c>
      <c r="C71" s="5">
        <v>2024.0</v>
      </c>
      <c r="D71" s="5" t="b">
        <v>0</v>
      </c>
    </row>
    <row r="72">
      <c r="A72" s="145">
        <v>149.56</v>
      </c>
      <c r="B72" s="6" t="s">
        <v>243</v>
      </c>
      <c r="C72" s="5">
        <v>2024.0</v>
      </c>
      <c r="D72" s="5" t="b">
        <v>0</v>
      </c>
    </row>
    <row r="73">
      <c r="A73" s="145">
        <v>175.0</v>
      </c>
      <c r="B73" s="6" t="s">
        <v>238</v>
      </c>
      <c r="C73" s="5">
        <v>2024.0</v>
      </c>
      <c r="D73" s="5" t="b">
        <v>0</v>
      </c>
    </row>
    <row r="74">
      <c r="A74" s="145">
        <v>179.0</v>
      </c>
      <c r="B74" s="6" t="s">
        <v>244</v>
      </c>
      <c r="C74" s="5">
        <v>2024.0</v>
      </c>
      <c r="D74" s="5" t="b">
        <v>0</v>
      </c>
    </row>
    <row r="75">
      <c r="A75" s="145">
        <v>50.0</v>
      </c>
      <c r="B75" s="6" t="s">
        <v>224</v>
      </c>
      <c r="C75" s="5">
        <v>2024.0</v>
      </c>
      <c r="D75" s="5" t="b">
        <v>1</v>
      </c>
    </row>
    <row r="76">
      <c r="A76" s="145">
        <v>279.0</v>
      </c>
      <c r="B76" s="6" t="s">
        <v>244</v>
      </c>
      <c r="C76" s="5">
        <v>2024.0</v>
      </c>
      <c r="D76" s="5" t="b">
        <v>0</v>
      </c>
    </row>
    <row r="77">
      <c r="A77" s="110">
        <v>350.0</v>
      </c>
      <c r="B77" s="6" t="s">
        <v>245</v>
      </c>
      <c r="C77" s="5">
        <v>2024.0</v>
      </c>
      <c r="D77" s="5" t="b">
        <v>0</v>
      </c>
      <c r="E77" s="31"/>
      <c r="F77" s="84"/>
      <c r="G77" s="18"/>
      <c r="H77" s="18"/>
      <c r="I77" s="18"/>
      <c r="J77" s="18"/>
      <c r="K77" s="18"/>
      <c r="L77" s="18"/>
      <c r="M77" s="18"/>
      <c r="N77" s="18"/>
      <c r="O77" s="18"/>
      <c r="P77" s="18"/>
      <c r="Q77" s="18"/>
      <c r="R77" s="18"/>
      <c r="S77" s="18"/>
      <c r="T77" s="18"/>
      <c r="U77" s="18"/>
      <c r="V77" s="18"/>
      <c r="W77" s="18"/>
      <c r="X77" s="18"/>
      <c r="Y77" s="18"/>
      <c r="Z77" s="18"/>
    </row>
    <row r="78">
      <c r="A78" s="147">
        <v>50.0</v>
      </c>
      <c r="B78" s="148" t="s">
        <v>224</v>
      </c>
      <c r="C78" s="150">
        <v>2025.0</v>
      </c>
      <c r="D78" s="5" t="b">
        <v>0</v>
      </c>
      <c r="E78" s="18"/>
      <c r="F78" s="18"/>
      <c r="G78" s="18"/>
      <c r="H78" s="18"/>
      <c r="I78" s="18"/>
      <c r="J78" s="18"/>
      <c r="K78" s="18"/>
      <c r="L78" s="18"/>
      <c r="M78" s="18"/>
      <c r="N78" s="18"/>
      <c r="O78" s="18"/>
      <c r="P78" s="18"/>
      <c r="Q78" s="18"/>
      <c r="R78" s="18"/>
      <c r="S78" s="18"/>
      <c r="T78" s="18"/>
      <c r="U78" s="18"/>
      <c r="V78" s="18"/>
      <c r="W78" s="18"/>
      <c r="X78" s="18"/>
      <c r="Y78" s="18"/>
      <c r="Z78" s="18"/>
    </row>
    <row r="79">
      <c r="A79" s="147">
        <v>50.0</v>
      </c>
      <c r="B79" s="148" t="s">
        <v>224</v>
      </c>
      <c r="C79" s="150">
        <v>2025.0</v>
      </c>
      <c r="D79" s="5" t="b">
        <v>0</v>
      </c>
      <c r="E79" s="18"/>
      <c r="F79" s="18"/>
    </row>
    <row r="80">
      <c r="A80" s="145">
        <v>84.05</v>
      </c>
      <c r="B80" s="6" t="s">
        <v>246</v>
      </c>
      <c r="C80" s="5">
        <v>2025.0</v>
      </c>
      <c r="D80" s="5" t="b">
        <v>0</v>
      </c>
      <c r="G80" s="18"/>
      <c r="H80" s="18"/>
      <c r="I80" s="18"/>
      <c r="J80" s="18"/>
      <c r="K80" s="18"/>
      <c r="L80" s="18"/>
      <c r="M80" s="18"/>
      <c r="N80" s="18"/>
      <c r="O80" s="18"/>
      <c r="P80" s="18"/>
      <c r="Q80" s="18"/>
      <c r="R80" s="18"/>
      <c r="S80" s="18"/>
      <c r="T80" s="18"/>
      <c r="U80" s="18"/>
      <c r="V80" s="18"/>
      <c r="W80" s="18"/>
      <c r="X80" s="18"/>
      <c r="Y80" s="18"/>
      <c r="Z80" s="18"/>
    </row>
    <row r="81">
      <c r="A81" s="151">
        <v>87.23</v>
      </c>
      <c r="B81" s="17" t="s">
        <v>247</v>
      </c>
      <c r="C81" s="150">
        <v>2025.0</v>
      </c>
      <c r="D81" s="5" t="b">
        <v>0</v>
      </c>
      <c r="E81" s="18"/>
      <c r="F81" s="18"/>
      <c r="G81" s="18"/>
      <c r="H81" s="18"/>
      <c r="I81" s="18"/>
      <c r="J81" s="18"/>
      <c r="K81" s="18"/>
      <c r="L81" s="18"/>
      <c r="M81" s="18"/>
      <c r="N81" s="18"/>
      <c r="O81" s="18"/>
      <c r="P81" s="18"/>
      <c r="Q81" s="18"/>
      <c r="R81" s="18"/>
      <c r="S81" s="18"/>
      <c r="T81" s="18"/>
      <c r="U81" s="18"/>
      <c r="V81" s="18"/>
      <c r="W81" s="18"/>
      <c r="X81" s="18"/>
      <c r="Y81" s="18"/>
      <c r="Z81" s="18"/>
    </row>
    <row r="82">
      <c r="A82" s="145">
        <v>185.54</v>
      </c>
      <c r="B82" s="6" t="s">
        <v>248</v>
      </c>
      <c r="C82" s="5">
        <v>2025.0</v>
      </c>
      <c r="D82" s="5" t="b">
        <v>0</v>
      </c>
    </row>
    <row r="83">
      <c r="A83" s="147">
        <v>50.0</v>
      </c>
      <c r="B83" s="148" t="s">
        <v>224</v>
      </c>
      <c r="C83" s="150">
        <v>2025.0</v>
      </c>
      <c r="D83" s="5" t="b">
        <v>0</v>
      </c>
      <c r="E83" s="18"/>
      <c r="F83" s="18"/>
      <c r="G83" s="18"/>
      <c r="H83" s="18"/>
      <c r="I83" s="18"/>
      <c r="J83" s="18"/>
      <c r="K83" s="18"/>
      <c r="L83" s="18"/>
      <c r="M83" s="18"/>
      <c r="N83" s="18"/>
      <c r="O83" s="18"/>
      <c r="P83" s="18"/>
      <c r="Q83" s="18"/>
      <c r="R83" s="18"/>
      <c r="S83" s="18"/>
      <c r="T83" s="18"/>
      <c r="U83" s="18"/>
      <c r="V83" s="18"/>
      <c r="W83" s="18"/>
      <c r="X83" s="18"/>
      <c r="Y83" s="18"/>
      <c r="Z83" s="18"/>
    </row>
    <row r="84">
      <c r="A84" s="145">
        <v>1115.0</v>
      </c>
      <c r="B84" s="6" t="s">
        <v>249</v>
      </c>
      <c r="C84" s="5">
        <v>2025.0</v>
      </c>
      <c r="D84" s="5" t="b">
        <v>0</v>
      </c>
    </row>
    <row r="85">
      <c r="A85" s="147">
        <v>50.0</v>
      </c>
      <c r="B85" s="148" t="s">
        <v>224</v>
      </c>
      <c r="C85" s="150">
        <v>2025.0</v>
      </c>
      <c r="D85" s="5" t="b">
        <v>0</v>
      </c>
      <c r="E85" s="18"/>
      <c r="F85" s="18"/>
      <c r="G85" s="18"/>
      <c r="H85" s="18"/>
      <c r="I85" s="18"/>
      <c r="J85" s="18"/>
      <c r="K85" s="18"/>
      <c r="L85" s="18"/>
      <c r="M85" s="18"/>
      <c r="N85" s="18"/>
      <c r="O85" s="18"/>
      <c r="P85" s="18"/>
      <c r="Q85" s="18"/>
      <c r="R85" s="18"/>
      <c r="S85" s="18"/>
      <c r="T85" s="18"/>
      <c r="U85" s="18"/>
      <c r="V85" s="18"/>
      <c r="W85" s="18"/>
      <c r="X85" s="18"/>
      <c r="Y85" s="18"/>
      <c r="Z85" s="18"/>
    </row>
    <row r="86">
      <c r="A86" s="145">
        <v>179.0</v>
      </c>
      <c r="B86" s="6" t="s">
        <v>250</v>
      </c>
      <c r="C86" s="5">
        <v>2025.0</v>
      </c>
      <c r="D86" s="5" t="b">
        <v>0</v>
      </c>
    </row>
    <row r="87">
      <c r="A87" s="145">
        <v>62.0</v>
      </c>
      <c r="B87" s="6" t="s">
        <v>251</v>
      </c>
      <c r="C87" s="5">
        <v>2025.0</v>
      </c>
      <c r="D87" s="144" t="b">
        <v>0</v>
      </c>
    </row>
    <row r="88">
      <c r="A88" s="145">
        <v>73.0</v>
      </c>
      <c r="B88" s="6" t="s">
        <v>252</v>
      </c>
      <c r="C88" s="5">
        <v>2025.0</v>
      </c>
      <c r="D88" s="144" t="b">
        <v>0</v>
      </c>
    </row>
    <row r="89">
      <c r="A89" s="145">
        <v>17.0</v>
      </c>
      <c r="B89" s="12"/>
      <c r="C89" s="5">
        <v>2025.0</v>
      </c>
      <c r="D89" s="144" t="b">
        <v>0</v>
      </c>
    </row>
    <row r="90">
      <c r="A90" s="145">
        <v>150.0</v>
      </c>
      <c r="B90" s="6" t="s">
        <v>253</v>
      </c>
      <c r="C90" s="5">
        <v>2025.0</v>
      </c>
      <c r="D90" s="144" t="b">
        <v>0</v>
      </c>
    </row>
    <row r="91">
      <c r="A91" s="145">
        <v>49.0</v>
      </c>
      <c r="B91" s="6" t="s">
        <v>254</v>
      </c>
      <c r="C91" s="5">
        <v>2025.0</v>
      </c>
      <c r="D91" s="144" t="b">
        <v>0</v>
      </c>
    </row>
    <row r="92">
      <c r="A92" s="145">
        <v>344.84</v>
      </c>
      <c r="B92" s="6" t="s">
        <v>255</v>
      </c>
      <c r="C92" s="5">
        <v>2025.0</v>
      </c>
      <c r="D92" s="144" t="b">
        <v>0</v>
      </c>
    </row>
    <row r="93">
      <c r="A93" s="147">
        <v>50.0</v>
      </c>
      <c r="B93" s="148" t="s">
        <v>224</v>
      </c>
      <c r="C93" s="150">
        <v>2025.0</v>
      </c>
      <c r="D93" s="5" t="b">
        <v>0</v>
      </c>
      <c r="E93" s="18"/>
      <c r="F93" s="18"/>
      <c r="G93" s="18"/>
      <c r="H93" s="18"/>
      <c r="I93" s="18"/>
      <c r="J93" s="18"/>
      <c r="K93" s="18"/>
      <c r="L93" s="18"/>
      <c r="M93" s="18"/>
      <c r="N93" s="18"/>
      <c r="O93" s="18"/>
      <c r="P93" s="18"/>
      <c r="Q93" s="18"/>
      <c r="R93" s="18"/>
      <c r="S93" s="18"/>
      <c r="T93" s="18"/>
      <c r="U93" s="18"/>
      <c r="V93" s="18"/>
      <c r="W93" s="18"/>
      <c r="X93" s="18"/>
      <c r="Y93" s="18"/>
      <c r="Z93" s="18"/>
    </row>
    <row r="94">
      <c r="A94" s="147">
        <v>50.0</v>
      </c>
      <c r="B94" s="148" t="s">
        <v>224</v>
      </c>
      <c r="C94" s="150">
        <v>2025.0</v>
      </c>
      <c r="D94" s="5" t="b">
        <v>0</v>
      </c>
      <c r="E94" s="18"/>
      <c r="F94" s="18"/>
      <c r="G94" s="18"/>
      <c r="H94" s="18"/>
      <c r="I94" s="18"/>
      <c r="J94" s="18"/>
      <c r="K94" s="18"/>
      <c r="L94" s="18"/>
      <c r="M94" s="18"/>
      <c r="N94" s="18"/>
      <c r="O94" s="18"/>
      <c r="P94" s="18"/>
      <c r="Q94" s="18"/>
      <c r="R94" s="18"/>
      <c r="S94" s="18"/>
      <c r="T94" s="18"/>
      <c r="U94" s="18"/>
      <c r="V94" s="18"/>
      <c r="W94" s="18"/>
      <c r="X94" s="18"/>
      <c r="Y94" s="18"/>
      <c r="Z94" s="18"/>
    </row>
    <row r="95">
      <c r="A95" s="147">
        <v>50.0</v>
      </c>
      <c r="B95" s="148" t="s">
        <v>224</v>
      </c>
      <c r="C95" s="150">
        <v>2025.0</v>
      </c>
      <c r="D95" s="5" t="b">
        <v>0</v>
      </c>
      <c r="E95" s="18"/>
      <c r="F95" s="18"/>
      <c r="G95" s="18"/>
      <c r="H95" s="18"/>
      <c r="I95" s="18"/>
      <c r="J95" s="18"/>
      <c r="K95" s="18"/>
      <c r="L95" s="18"/>
      <c r="M95" s="18"/>
      <c r="N95" s="18"/>
      <c r="O95" s="18"/>
      <c r="P95" s="18"/>
      <c r="Q95" s="18"/>
      <c r="R95" s="18"/>
      <c r="S95" s="18"/>
      <c r="T95" s="18"/>
      <c r="U95" s="18"/>
      <c r="V95" s="18"/>
      <c r="W95" s="18"/>
      <c r="X95" s="18"/>
      <c r="Y95" s="18"/>
      <c r="Z95" s="18"/>
    </row>
    <row r="96">
      <c r="A96" s="145">
        <v>175.0</v>
      </c>
      <c r="B96" s="6" t="s">
        <v>245</v>
      </c>
      <c r="C96" s="5">
        <v>2025.0</v>
      </c>
      <c r="D96" s="5" t="b">
        <v>0</v>
      </c>
      <c r="E96" s="31"/>
      <c r="F96" s="84"/>
      <c r="G96" s="18"/>
      <c r="H96" s="18"/>
      <c r="I96" s="18"/>
      <c r="J96" s="18"/>
      <c r="K96" s="18"/>
      <c r="L96" s="18"/>
      <c r="M96" s="18"/>
      <c r="N96" s="18"/>
      <c r="O96" s="18"/>
      <c r="P96" s="18"/>
      <c r="Q96" s="18"/>
      <c r="R96" s="18"/>
      <c r="S96" s="18"/>
      <c r="T96" s="18"/>
      <c r="U96" s="18"/>
      <c r="V96" s="18"/>
      <c r="W96" s="18"/>
      <c r="X96" s="18"/>
      <c r="Y96" s="18"/>
      <c r="Z96" s="18"/>
    </row>
    <row r="97">
      <c r="A97" s="147">
        <v>50.0</v>
      </c>
      <c r="B97" s="148" t="s">
        <v>224</v>
      </c>
      <c r="C97" s="150">
        <v>2025.0</v>
      </c>
      <c r="D97" s="5" t="b">
        <v>0</v>
      </c>
      <c r="E97" s="18"/>
      <c r="F97" s="18"/>
    </row>
    <row r="98">
      <c r="A98" s="145">
        <v>285.0</v>
      </c>
      <c r="B98" s="6" t="s">
        <v>256</v>
      </c>
      <c r="C98" s="5">
        <v>2025.0</v>
      </c>
      <c r="D98" s="5" t="b">
        <v>0</v>
      </c>
      <c r="E98" s="31"/>
      <c r="F98" s="84"/>
      <c r="G98" s="18"/>
      <c r="H98" s="18"/>
      <c r="I98" s="18"/>
      <c r="J98" s="18"/>
      <c r="K98" s="18"/>
      <c r="L98" s="18"/>
      <c r="M98" s="18"/>
      <c r="N98" s="18"/>
      <c r="O98" s="18"/>
      <c r="P98" s="18"/>
      <c r="Q98" s="18"/>
      <c r="R98" s="18"/>
      <c r="S98" s="18"/>
      <c r="T98" s="18"/>
      <c r="U98" s="18"/>
      <c r="V98" s="18"/>
      <c r="W98" s="18"/>
      <c r="X98" s="18"/>
      <c r="Y98" s="18"/>
      <c r="Z98" s="18"/>
    </row>
    <row r="99">
      <c r="A99" s="147">
        <v>50.0</v>
      </c>
      <c r="B99" s="148" t="s">
        <v>224</v>
      </c>
      <c r="C99" s="150">
        <v>2025.0</v>
      </c>
      <c r="D99" s="5" t="b">
        <v>0</v>
      </c>
      <c r="E99" s="18"/>
      <c r="F99" s="18"/>
    </row>
    <row r="100">
      <c r="A100" s="147">
        <v>50.0</v>
      </c>
      <c r="B100" s="148" t="s">
        <v>224</v>
      </c>
      <c r="C100" s="150">
        <v>2025.0</v>
      </c>
      <c r="D100" s="5" t="b">
        <v>0</v>
      </c>
      <c r="E100" s="18"/>
      <c r="F100" s="18"/>
    </row>
    <row r="101">
      <c r="A101" s="151">
        <v>75.0</v>
      </c>
      <c r="B101" s="148" t="s">
        <v>224</v>
      </c>
      <c r="C101" s="150">
        <v>2026.0</v>
      </c>
      <c r="D101" s="5" t="b">
        <v>0</v>
      </c>
      <c r="E101" s="18"/>
      <c r="F101" s="18"/>
    </row>
    <row r="102">
      <c r="A102" s="110"/>
      <c r="B102" s="12"/>
    </row>
    <row r="103">
      <c r="A103" s="110"/>
      <c r="B103" s="12"/>
    </row>
    <row r="104">
      <c r="A104" s="110"/>
      <c r="B104" s="12"/>
    </row>
    <row r="105">
      <c r="A105" s="110"/>
      <c r="B105" s="12"/>
    </row>
    <row r="106">
      <c r="A106" s="110"/>
      <c r="B106" s="12"/>
    </row>
    <row r="107">
      <c r="A107" s="110"/>
      <c r="B107" s="12"/>
    </row>
    <row r="108">
      <c r="A108" s="110"/>
      <c r="B108" s="12"/>
    </row>
    <row r="109">
      <c r="A109" s="110"/>
      <c r="B109" s="12"/>
    </row>
    <row r="110">
      <c r="A110" s="110"/>
      <c r="B110" s="12"/>
    </row>
    <row r="111">
      <c r="A111" s="110"/>
      <c r="B111" s="12"/>
    </row>
    <row r="112">
      <c r="A112" s="110"/>
      <c r="B112" s="12"/>
    </row>
    <row r="113">
      <c r="A113" s="110"/>
      <c r="B113" s="12"/>
    </row>
    <row r="114">
      <c r="A114" s="110"/>
      <c r="B114" s="12"/>
    </row>
    <row r="115">
      <c r="A115" s="110"/>
      <c r="B115" s="12"/>
    </row>
    <row r="116">
      <c r="A116" s="110"/>
      <c r="B116" s="12"/>
    </row>
    <row r="117">
      <c r="A117" s="110"/>
      <c r="B117" s="12"/>
    </row>
    <row r="118">
      <c r="A118" s="110"/>
      <c r="B118" s="12"/>
    </row>
    <row r="119">
      <c r="A119" s="110"/>
      <c r="B119" s="12"/>
    </row>
    <row r="120">
      <c r="A120" s="110"/>
      <c r="B120" s="12"/>
    </row>
    <row r="121">
      <c r="A121" s="110"/>
      <c r="B121" s="12"/>
    </row>
    <row r="122">
      <c r="A122" s="110"/>
      <c r="B122" s="12"/>
    </row>
    <row r="123">
      <c r="A123" s="110"/>
      <c r="B123" s="12"/>
    </row>
    <row r="124">
      <c r="A124" s="110"/>
      <c r="B124" s="12"/>
    </row>
    <row r="125">
      <c r="A125" s="110"/>
      <c r="B125" s="12"/>
    </row>
    <row r="126">
      <c r="A126" s="110"/>
      <c r="B126" s="12"/>
    </row>
    <row r="127">
      <c r="A127" s="110"/>
      <c r="B127" s="12"/>
    </row>
    <row r="128">
      <c r="A128" s="110"/>
      <c r="B128" s="12"/>
    </row>
    <row r="129">
      <c r="A129" s="110"/>
      <c r="B129" s="12"/>
    </row>
    <row r="130">
      <c r="A130" s="110"/>
      <c r="B130" s="12"/>
    </row>
    <row r="131">
      <c r="A131" s="110"/>
      <c r="B131" s="12"/>
    </row>
    <row r="132">
      <c r="A132" s="110"/>
      <c r="B132" s="12"/>
    </row>
    <row r="133">
      <c r="A133" s="110"/>
      <c r="B133" s="12"/>
    </row>
    <row r="134">
      <c r="A134" s="110"/>
      <c r="B134" s="12"/>
    </row>
    <row r="135">
      <c r="A135" s="110"/>
      <c r="B135" s="12"/>
    </row>
    <row r="136">
      <c r="A136" s="110"/>
      <c r="B136" s="12"/>
    </row>
    <row r="137">
      <c r="A137" s="110"/>
      <c r="B137" s="12"/>
    </row>
    <row r="138">
      <c r="A138" s="110"/>
      <c r="B138" s="12"/>
    </row>
    <row r="139">
      <c r="A139" s="110"/>
      <c r="B139" s="12"/>
    </row>
    <row r="140">
      <c r="A140" s="110"/>
      <c r="B140" s="12"/>
    </row>
    <row r="141">
      <c r="A141" s="110"/>
      <c r="B141" s="12"/>
    </row>
    <row r="142">
      <c r="A142" s="110"/>
      <c r="B142" s="12"/>
    </row>
    <row r="143">
      <c r="A143" s="110"/>
      <c r="B143" s="12"/>
    </row>
    <row r="144">
      <c r="A144" s="110"/>
      <c r="B144" s="12"/>
    </row>
    <row r="145">
      <c r="A145" s="110"/>
      <c r="B145" s="12"/>
    </row>
    <row r="146">
      <c r="A146" s="110"/>
      <c r="B146" s="12"/>
    </row>
    <row r="147">
      <c r="A147" s="110"/>
      <c r="B147" s="12"/>
    </row>
    <row r="148">
      <c r="A148" s="110"/>
      <c r="B148" s="12"/>
    </row>
    <row r="149">
      <c r="A149" s="110"/>
      <c r="B149" s="12"/>
    </row>
    <row r="150">
      <c r="A150" s="110"/>
      <c r="B150" s="12"/>
    </row>
    <row r="151">
      <c r="A151" s="110"/>
      <c r="B151" s="12"/>
    </row>
    <row r="152">
      <c r="A152" s="110"/>
      <c r="B152" s="12"/>
    </row>
    <row r="153">
      <c r="A153" s="110"/>
      <c r="B153" s="12"/>
    </row>
    <row r="154">
      <c r="A154" s="110"/>
      <c r="B154" s="12"/>
    </row>
    <row r="155">
      <c r="A155" s="110"/>
      <c r="B155" s="12"/>
    </row>
    <row r="156">
      <c r="A156" s="110"/>
      <c r="B156" s="12"/>
    </row>
    <row r="157">
      <c r="A157" s="110"/>
      <c r="B157" s="12"/>
    </row>
    <row r="158">
      <c r="A158" s="110"/>
      <c r="B158" s="12"/>
    </row>
    <row r="159">
      <c r="A159" s="110"/>
      <c r="B159" s="12"/>
    </row>
    <row r="160">
      <c r="A160" s="110"/>
      <c r="B160" s="12"/>
    </row>
    <row r="161">
      <c r="A161" s="110"/>
      <c r="B161" s="12"/>
    </row>
    <row r="162">
      <c r="A162" s="110"/>
      <c r="B162" s="12"/>
    </row>
    <row r="163">
      <c r="A163" s="110"/>
      <c r="B163" s="12"/>
    </row>
    <row r="164">
      <c r="A164" s="110"/>
      <c r="B164" s="12"/>
    </row>
    <row r="165">
      <c r="A165" s="110"/>
      <c r="B165" s="12"/>
    </row>
    <row r="166">
      <c r="A166" s="110"/>
      <c r="B166" s="12"/>
    </row>
    <row r="167">
      <c r="A167" s="110"/>
      <c r="B167" s="12"/>
    </row>
    <row r="168">
      <c r="A168" s="110"/>
      <c r="B168" s="12"/>
    </row>
    <row r="169">
      <c r="A169" s="110"/>
      <c r="B169" s="12"/>
    </row>
    <row r="170">
      <c r="A170" s="110"/>
      <c r="B170" s="12"/>
    </row>
    <row r="171">
      <c r="A171" s="110"/>
      <c r="B171" s="12"/>
    </row>
    <row r="172">
      <c r="A172" s="110"/>
      <c r="B172" s="12"/>
    </row>
    <row r="173">
      <c r="A173" s="110"/>
      <c r="B173" s="12"/>
    </row>
    <row r="174">
      <c r="A174" s="110"/>
      <c r="B174" s="12"/>
    </row>
    <row r="175">
      <c r="A175" s="110"/>
      <c r="B175" s="12"/>
    </row>
    <row r="176">
      <c r="A176" s="110"/>
      <c r="B176" s="12"/>
    </row>
    <row r="177">
      <c r="A177" s="110"/>
      <c r="B177" s="12"/>
    </row>
    <row r="178">
      <c r="A178" s="110"/>
      <c r="B178" s="12"/>
    </row>
    <row r="179">
      <c r="A179" s="110"/>
      <c r="B179" s="12"/>
    </row>
    <row r="180">
      <c r="A180" s="110"/>
      <c r="B180" s="12"/>
    </row>
    <row r="181">
      <c r="A181" s="110"/>
      <c r="B181" s="12"/>
    </row>
    <row r="182">
      <c r="A182" s="110"/>
      <c r="B182" s="12"/>
    </row>
    <row r="183">
      <c r="A183" s="110"/>
      <c r="B183" s="12"/>
    </row>
    <row r="184">
      <c r="A184" s="110"/>
      <c r="B184" s="12"/>
    </row>
    <row r="185">
      <c r="A185" s="110"/>
      <c r="B185" s="12"/>
    </row>
    <row r="186">
      <c r="A186" s="110"/>
      <c r="B186" s="12"/>
    </row>
    <row r="187">
      <c r="A187" s="110"/>
      <c r="B187" s="12"/>
    </row>
    <row r="188">
      <c r="A188" s="110"/>
      <c r="B188" s="12"/>
    </row>
    <row r="189">
      <c r="A189" s="110"/>
      <c r="B189" s="12"/>
    </row>
    <row r="190">
      <c r="A190" s="110"/>
      <c r="B190" s="12"/>
    </row>
    <row r="191">
      <c r="A191" s="110"/>
      <c r="B191" s="12"/>
    </row>
    <row r="192">
      <c r="A192" s="110"/>
      <c r="B192" s="12"/>
    </row>
    <row r="193">
      <c r="A193" s="110"/>
      <c r="B193" s="12"/>
    </row>
    <row r="194">
      <c r="A194" s="110"/>
      <c r="B194" s="12"/>
    </row>
    <row r="195">
      <c r="A195" s="110"/>
      <c r="B195" s="12"/>
    </row>
    <row r="196">
      <c r="A196" s="110"/>
      <c r="B196" s="12"/>
    </row>
    <row r="197">
      <c r="A197" s="110"/>
      <c r="B197" s="12"/>
    </row>
    <row r="198">
      <c r="A198" s="110"/>
      <c r="B198" s="12"/>
    </row>
    <row r="199">
      <c r="A199" s="110"/>
      <c r="B199" s="12"/>
    </row>
    <row r="200">
      <c r="A200" s="110"/>
      <c r="B200" s="12"/>
    </row>
    <row r="201">
      <c r="A201" s="110"/>
      <c r="B201" s="12"/>
    </row>
    <row r="202">
      <c r="A202" s="110"/>
      <c r="B202" s="12"/>
    </row>
    <row r="203">
      <c r="A203" s="110"/>
      <c r="B203" s="12"/>
    </row>
    <row r="204">
      <c r="A204" s="110"/>
      <c r="B204" s="12"/>
    </row>
    <row r="205">
      <c r="A205" s="110"/>
      <c r="B205" s="12"/>
    </row>
    <row r="206">
      <c r="A206" s="110"/>
      <c r="B206" s="12"/>
    </row>
    <row r="207">
      <c r="A207" s="110"/>
      <c r="B207" s="12"/>
    </row>
    <row r="208">
      <c r="A208" s="110"/>
      <c r="B208" s="12"/>
    </row>
    <row r="209">
      <c r="A209" s="110"/>
      <c r="B209" s="12"/>
    </row>
    <row r="210">
      <c r="A210" s="110"/>
      <c r="B210" s="12"/>
    </row>
    <row r="211">
      <c r="A211" s="110"/>
      <c r="B211" s="12"/>
    </row>
    <row r="212">
      <c r="A212" s="110"/>
      <c r="B212" s="12"/>
    </row>
    <row r="213">
      <c r="A213" s="110"/>
      <c r="B213" s="12"/>
    </row>
    <row r="214">
      <c r="A214" s="110"/>
      <c r="B214" s="12"/>
    </row>
    <row r="215">
      <c r="A215" s="110"/>
      <c r="B215" s="12"/>
    </row>
    <row r="216">
      <c r="A216" s="110"/>
      <c r="B216" s="12"/>
    </row>
    <row r="217">
      <c r="A217" s="110"/>
      <c r="B217" s="12"/>
    </row>
    <row r="218">
      <c r="A218" s="110"/>
      <c r="B218" s="12"/>
    </row>
    <row r="219">
      <c r="A219" s="110"/>
      <c r="B219" s="12"/>
    </row>
    <row r="220">
      <c r="A220" s="110"/>
      <c r="B220" s="12"/>
    </row>
    <row r="221">
      <c r="A221" s="110"/>
      <c r="B221" s="12"/>
    </row>
    <row r="222">
      <c r="A222" s="110"/>
      <c r="B222" s="12"/>
    </row>
    <row r="223">
      <c r="A223" s="110"/>
      <c r="B223" s="12"/>
    </row>
    <row r="224">
      <c r="A224" s="110"/>
      <c r="B224" s="12"/>
    </row>
    <row r="225">
      <c r="A225" s="110"/>
      <c r="B225" s="12"/>
    </row>
    <row r="226">
      <c r="A226" s="110"/>
      <c r="B226" s="12"/>
    </row>
    <row r="227">
      <c r="A227" s="110"/>
      <c r="B227" s="12"/>
    </row>
    <row r="228">
      <c r="A228" s="110"/>
      <c r="B228" s="12"/>
    </row>
    <row r="229">
      <c r="A229" s="110"/>
      <c r="B229" s="12"/>
    </row>
    <row r="230">
      <c r="A230" s="110"/>
      <c r="B230" s="12"/>
    </row>
    <row r="231">
      <c r="A231" s="110"/>
      <c r="B231" s="12"/>
    </row>
    <row r="232">
      <c r="A232" s="110"/>
      <c r="B232" s="12"/>
    </row>
    <row r="233">
      <c r="A233" s="110"/>
      <c r="B233" s="12"/>
    </row>
    <row r="234">
      <c r="A234" s="110"/>
      <c r="B234" s="12"/>
    </row>
    <row r="235">
      <c r="A235" s="110"/>
      <c r="B235" s="12"/>
    </row>
    <row r="236">
      <c r="A236" s="110"/>
      <c r="B236" s="12"/>
    </row>
    <row r="237">
      <c r="A237" s="110"/>
      <c r="B237" s="12"/>
    </row>
    <row r="238">
      <c r="A238" s="110"/>
      <c r="B238" s="12"/>
    </row>
    <row r="239">
      <c r="A239" s="110"/>
      <c r="B239" s="12"/>
    </row>
    <row r="240">
      <c r="A240" s="110"/>
      <c r="B240" s="12"/>
    </row>
    <row r="241">
      <c r="A241" s="110"/>
      <c r="B241" s="12"/>
    </row>
    <row r="242">
      <c r="A242" s="110"/>
      <c r="B242" s="12"/>
    </row>
    <row r="243">
      <c r="A243" s="110"/>
      <c r="B243" s="12"/>
    </row>
    <row r="244">
      <c r="A244" s="110"/>
      <c r="B244" s="12"/>
    </row>
    <row r="245">
      <c r="A245" s="110"/>
      <c r="B245" s="12"/>
    </row>
    <row r="246">
      <c r="A246" s="110"/>
      <c r="B246" s="12"/>
    </row>
    <row r="247">
      <c r="A247" s="110"/>
      <c r="B247" s="12"/>
    </row>
    <row r="248">
      <c r="A248" s="110"/>
      <c r="B248" s="12"/>
    </row>
    <row r="249">
      <c r="A249" s="110"/>
      <c r="B249" s="12"/>
    </row>
    <row r="250">
      <c r="A250" s="110"/>
      <c r="B250" s="12"/>
    </row>
    <row r="251">
      <c r="A251" s="110"/>
      <c r="B251" s="12"/>
    </row>
    <row r="252">
      <c r="A252" s="110"/>
      <c r="B252" s="12"/>
    </row>
    <row r="253">
      <c r="A253" s="110"/>
      <c r="B253" s="12"/>
    </row>
    <row r="254">
      <c r="A254" s="110"/>
      <c r="B254" s="12"/>
    </row>
    <row r="255">
      <c r="A255" s="110"/>
      <c r="B255" s="12"/>
    </row>
    <row r="256">
      <c r="A256" s="110"/>
      <c r="B256" s="12"/>
    </row>
    <row r="257">
      <c r="A257" s="110"/>
      <c r="B257" s="12"/>
    </row>
    <row r="258">
      <c r="A258" s="110"/>
      <c r="B258" s="12"/>
    </row>
    <row r="259">
      <c r="A259" s="110"/>
      <c r="B259" s="12"/>
    </row>
    <row r="260">
      <c r="A260" s="110"/>
      <c r="B260" s="12"/>
    </row>
    <row r="261">
      <c r="A261" s="110"/>
      <c r="B261" s="12"/>
    </row>
    <row r="262">
      <c r="A262" s="110"/>
      <c r="B262" s="12"/>
    </row>
    <row r="263">
      <c r="A263" s="110"/>
      <c r="B263" s="12"/>
    </row>
    <row r="264">
      <c r="A264" s="110"/>
      <c r="B264" s="12"/>
    </row>
    <row r="265">
      <c r="A265" s="110"/>
      <c r="B265" s="12"/>
    </row>
    <row r="266">
      <c r="A266" s="110"/>
      <c r="B266" s="12"/>
    </row>
    <row r="267">
      <c r="A267" s="110"/>
      <c r="B267" s="12"/>
    </row>
    <row r="268">
      <c r="A268" s="110"/>
      <c r="B268" s="12"/>
    </row>
    <row r="269">
      <c r="A269" s="110"/>
      <c r="B269" s="12"/>
    </row>
    <row r="270">
      <c r="A270" s="110"/>
      <c r="B270" s="12"/>
    </row>
    <row r="271">
      <c r="A271" s="110"/>
      <c r="B271" s="12"/>
    </row>
    <row r="272">
      <c r="A272" s="110"/>
      <c r="B272" s="12"/>
    </row>
    <row r="273">
      <c r="A273" s="110"/>
      <c r="B273" s="12"/>
    </row>
    <row r="274">
      <c r="A274" s="110"/>
      <c r="B274" s="12"/>
    </row>
    <row r="275">
      <c r="A275" s="110"/>
      <c r="B275" s="12"/>
    </row>
    <row r="276">
      <c r="A276" s="110"/>
      <c r="B276" s="12"/>
    </row>
    <row r="277">
      <c r="A277" s="110"/>
      <c r="B277" s="12"/>
    </row>
    <row r="278">
      <c r="A278" s="110"/>
      <c r="B278" s="12"/>
    </row>
    <row r="279">
      <c r="A279" s="110"/>
      <c r="B279" s="12"/>
    </row>
    <row r="280">
      <c r="A280" s="110"/>
      <c r="B280" s="12"/>
    </row>
    <row r="281">
      <c r="A281" s="110"/>
      <c r="B281" s="12"/>
    </row>
    <row r="282">
      <c r="A282" s="110"/>
      <c r="B282" s="12"/>
    </row>
    <row r="283">
      <c r="A283" s="110"/>
      <c r="B283" s="12"/>
    </row>
    <row r="284">
      <c r="A284" s="110"/>
      <c r="B284" s="12"/>
    </row>
    <row r="285">
      <c r="A285" s="110"/>
      <c r="B285" s="12"/>
    </row>
    <row r="286">
      <c r="A286" s="110"/>
      <c r="B286" s="12"/>
    </row>
    <row r="287">
      <c r="A287" s="110"/>
      <c r="B287" s="12"/>
    </row>
    <row r="288">
      <c r="A288" s="110"/>
      <c r="B288" s="12"/>
    </row>
    <row r="289">
      <c r="A289" s="110"/>
      <c r="B289" s="12"/>
    </row>
    <row r="290">
      <c r="A290" s="110"/>
      <c r="B290" s="12"/>
    </row>
    <row r="291">
      <c r="A291" s="110"/>
      <c r="B291" s="12"/>
    </row>
    <row r="292">
      <c r="A292" s="110"/>
      <c r="B292" s="12"/>
    </row>
    <row r="293">
      <c r="A293" s="110"/>
      <c r="B293" s="12"/>
    </row>
    <row r="294">
      <c r="A294" s="110"/>
      <c r="B294" s="12"/>
    </row>
    <row r="295">
      <c r="A295" s="110"/>
      <c r="B295" s="12"/>
    </row>
    <row r="296">
      <c r="A296" s="110"/>
      <c r="B296" s="12"/>
    </row>
    <row r="297">
      <c r="A297" s="110"/>
      <c r="B297" s="12"/>
    </row>
    <row r="298">
      <c r="A298" s="110"/>
      <c r="B298" s="12"/>
    </row>
    <row r="299">
      <c r="A299" s="110"/>
      <c r="B299" s="12"/>
    </row>
    <row r="300">
      <c r="A300" s="110"/>
      <c r="B300" s="12"/>
    </row>
    <row r="301">
      <c r="A301" s="110"/>
      <c r="B301" s="12"/>
    </row>
    <row r="302">
      <c r="A302" s="110"/>
      <c r="B302" s="12"/>
    </row>
    <row r="303">
      <c r="A303" s="110"/>
      <c r="B303" s="12"/>
    </row>
    <row r="304">
      <c r="A304" s="110"/>
      <c r="B304" s="12"/>
    </row>
    <row r="305">
      <c r="A305" s="110"/>
      <c r="B305" s="12"/>
    </row>
    <row r="306">
      <c r="A306" s="110"/>
      <c r="B306" s="12"/>
    </row>
    <row r="307">
      <c r="A307" s="110"/>
      <c r="B307" s="12"/>
    </row>
    <row r="308">
      <c r="A308" s="110"/>
      <c r="B308" s="12"/>
    </row>
    <row r="309">
      <c r="A309" s="110"/>
      <c r="B309" s="12"/>
    </row>
    <row r="310">
      <c r="A310" s="110"/>
      <c r="B310" s="12"/>
    </row>
    <row r="311">
      <c r="A311" s="110"/>
      <c r="B311" s="12"/>
    </row>
    <row r="312">
      <c r="A312" s="110"/>
      <c r="B312" s="12"/>
    </row>
    <row r="313">
      <c r="A313" s="110"/>
      <c r="B313" s="12"/>
    </row>
    <row r="314">
      <c r="A314" s="110"/>
      <c r="B314" s="12"/>
    </row>
    <row r="315">
      <c r="A315" s="110"/>
      <c r="B315" s="12"/>
    </row>
    <row r="316">
      <c r="A316" s="110"/>
      <c r="B316" s="12"/>
    </row>
    <row r="317">
      <c r="A317" s="110"/>
      <c r="B317" s="12"/>
    </row>
    <row r="318">
      <c r="A318" s="110"/>
      <c r="B318" s="12"/>
    </row>
    <row r="319">
      <c r="A319" s="110"/>
      <c r="B319" s="12"/>
    </row>
    <row r="320">
      <c r="A320" s="110"/>
      <c r="B320" s="12"/>
    </row>
    <row r="321">
      <c r="A321" s="110"/>
      <c r="B321" s="12"/>
    </row>
    <row r="322">
      <c r="A322" s="110"/>
      <c r="B322" s="12"/>
    </row>
    <row r="323">
      <c r="A323" s="110"/>
      <c r="B323" s="12"/>
    </row>
    <row r="324">
      <c r="A324" s="110"/>
      <c r="B324" s="12"/>
    </row>
    <row r="325">
      <c r="A325" s="110"/>
      <c r="B325" s="12"/>
    </row>
    <row r="326">
      <c r="A326" s="110"/>
      <c r="B326" s="12"/>
    </row>
    <row r="327">
      <c r="A327" s="110"/>
      <c r="B327" s="12"/>
    </row>
    <row r="328">
      <c r="A328" s="110"/>
      <c r="B328" s="12"/>
    </row>
    <row r="329">
      <c r="A329" s="110"/>
      <c r="B329" s="12"/>
    </row>
    <row r="330">
      <c r="A330" s="110"/>
      <c r="B330" s="12"/>
    </row>
    <row r="331">
      <c r="A331" s="110"/>
      <c r="B331" s="12"/>
    </row>
    <row r="332">
      <c r="A332" s="110"/>
      <c r="B332" s="12"/>
    </row>
    <row r="333">
      <c r="A333" s="110"/>
      <c r="B333" s="12"/>
    </row>
    <row r="334">
      <c r="A334" s="110"/>
      <c r="B334" s="12"/>
    </row>
    <row r="335">
      <c r="A335" s="110"/>
      <c r="B335" s="12"/>
    </row>
    <row r="336">
      <c r="A336" s="110"/>
      <c r="B336" s="12"/>
    </row>
    <row r="337">
      <c r="A337" s="110"/>
      <c r="B337" s="12"/>
    </row>
    <row r="338">
      <c r="A338" s="110"/>
      <c r="B338" s="12"/>
    </row>
    <row r="339">
      <c r="A339" s="110"/>
      <c r="B339" s="12"/>
    </row>
    <row r="340">
      <c r="A340" s="110"/>
      <c r="B340" s="12"/>
    </row>
    <row r="341">
      <c r="A341" s="110"/>
      <c r="B341" s="12"/>
    </row>
    <row r="342">
      <c r="A342" s="110"/>
      <c r="B342" s="12"/>
    </row>
    <row r="343">
      <c r="A343" s="110"/>
      <c r="B343" s="12"/>
    </row>
    <row r="344">
      <c r="A344" s="110"/>
      <c r="B344" s="12"/>
    </row>
    <row r="345">
      <c r="A345" s="110"/>
      <c r="B345" s="12"/>
    </row>
    <row r="346">
      <c r="A346" s="110"/>
      <c r="B346" s="12"/>
    </row>
    <row r="347">
      <c r="A347" s="110"/>
      <c r="B347" s="12"/>
    </row>
    <row r="348">
      <c r="A348" s="110"/>
      <c r="B348" s="12"/>
    </row>
    <row r="349">
      <c r="A349" s="110"/>
      <c r="B349" s="12"/>
    </row>
    <row r="350">
      <c r="A350" s="110"/>
      <c r="B350" s="12"/>
    </row>
    <row r="351">
      <c r="A351" s="110"/>
      <c r="B351" s="12"/>
    </row>
    <row r="352">
      <c r="A352" s="110"/>
      <c r="B352" s="12"/>
    </row>
    <row r="353">
      <c r="A353" s="110"/>
      <c r="B353" s="12"/>
    </row>
    <row r="354">
      <c r="A354" s="110"/>
      <c r="B354" s="12"/>
    </row>
    <row r="355">
      <c r="A355" s="110"/>
      <c r="B355" s="12"/>
    </row>
    <row r="356">
      <c r="A356" s="110"/>
      <c r="B356" s="12"/>
    </row>
    <row r="357">
      <c r="A357" s="110"/>
      <c r="B357" s="12"/>
    </row>
    <row r="358">
      <c r="A358" s="110"/>
      <c r="B358" s="12"/>
    </row>
    <row r="359">
      <c r="A359" s="110"/>
      <c r="B359" s="12"/>
    </row>
    <row r="360">
      <c r="A360" s="110"/>
      <c r="B360" s="12"/>
    </row>
    <row r="361">
      <c r="A361" s="110"/>
      <c r="B361" s="12"/>
    </row>
    <row r="362">
      <c r="A362" s="110"/>
      <c r="B362" s="12"/>
    </row>
    <row r="363">
      <c r="A363" s="110"/>
      <c r="B363" s="12"/>
    </row>
    <row r="364">
      <c r="A364" s="110"/>
      <c r="B364" s="12"/>
    </row>
    <row r="365">
      <c r="A365" s="110"/>
      <c r="B365" s="12"/>
    </row>
    <row r="366">
      <c r="A366" s="110"/>
      <c r="B366" s="12"/>
    </row>
    <row r="367">
      <c r="A367" s="110"/>
      <c r="B367" s="12"/>
    </row>
    <row r="368">
      <c r="A368" s="110"/>
      <c r="B368" s="12"/>
    </row>
    <row r="369">
      <c r="A369" s="110"/>
      <c r="B369" s="12"/>
    </row>
    <row r="370">
      <c r="A370" s="110"/>
      <c r="B370" s="12"/>
    </row>
    <row r="371">
      <c r="A371" s="110"/>
      <c r="B371" s="12"/>
    </row>
    <row r="372">
      <c r="A372" s="110"/>
      <c r="B372" s="12"/>
    </row>
    <row r="373">
      <c r="A373" s="110"/>
      <c r="B373" s="12"/>
    </row>
    <row r="374">
      <c r="A374" s="110"/>
      <c r="B374" s="12"/>
    </row>
    <row r="375">
      <c r="A375" s="110"/>
      <c r="B375" s="12"/>
    </row>
    <row r="376">
      <c r="A376" s="110"/>
      <c r="B376" s="12"/>
    </row>
    <row r="377">
      <c r="A377" s="110"/>
      <c r="B377" s="12"/>
    </row>
    <row r="378">
      <c r="A378" s="110"/>
      <c r="B378" s="12"/>
    </row>
    <row r="379">
      <c r="A379" s="110"/>
      <c r="B379" s="12"/>
    </row>
    <row r="380">
      <c r="A380" s="110"/>
      <c r="B380" s="12"/>
    </row>
    <row r="381">
      <c r="A381" s="110"/>
      <c r="B381" s="12"/>
    </row>
    <row r="382">
      <c r="A382" s="110"/>
      <c r="B382" s="12"/>
    </row>
    <row r="383">
      <c r="A383" s="110"/>
      <c r="B383" s="12"/>
    </row>
    <row r="384">
      <c r="A384" s="110"/>
      <c r="B384" s="12"/>
    </row>
    <row r="385">
      <c r="A385" s="110"/>
      <c r="B385" s="12"/>
    </row>
    <row r="386">
      <c r="A386" s="110"/>
      <c r="B386" s="12"/>
    </row>
    <row r="387">
      <c r="A387" s="110"/>
      <c r="B387" s="12"/>
    </row>
    <row r="388">
      <c r="A388" s="110"/>
      <c r="B388" s="12"/>
    </row>
    <row r="389">
      <c r="A389" s="110"/>
      <c r="B389" s="12"/>
    </row>
    <row r="390">
      <c r="A390" s="110"/>
      <c r="B390" s="12"/>
    </row>
    <row r="391">
      <c r="A391" s="110"/>
      <c r="B391" s="12"/>
    </row>
    <row r="392">
      <c r="A392" s="110"/>
      <c r="B392" s="12"/>
    </row>
    <row r="393">
      <c r="A393" s="110"/>
      <c r="B393" s="12"/>
    </row>
    <row r="394">
      <c r="A394" s="110"/>
      <c r="B394" s="12"/>
    </row>
    <row r="395">
      <c r="A395" s="110"/>
      <c r="B395" s="12"/>
    </row>
    <row r="396">
      <c r="A396" s="110"/>
      <c r="B396" s="12"/>
    </row>
    <row r="397">
      <c r="A397" s="110"/>
      <c r="B397" s="12"/>
    </row>
    <row r="398">
      <c r="A398" s="110"/>
      <c r="B398" s="12"/>
    </row>
    <row r="399">
      <c r="A399" s="110"/>
      <c r="B399" s="12"/>
    </row>
    <row r="400">
      <c r="A400" s="110"/>
      <c r="B400" s="12"/>
    </row>
    <row r="401">
      <c r="A401" s="110"/>
      <c r="B401" s="12"/>
    </row>
    <row r="402">
      <c r="A402" s="110"/>
      <c r="B402" s="12"/>
    </row>
    <row r="403">
      <c r="A403" s="110"/>
      <c r="B403" s="12"/>
    </row>
    <row r="404">
      <c r="A404" s="110"/>
      <c r="B404" s="12"/>
    </row>
    <row r="405">
      <c r="A405" s="110"/>
      <c r="B405" s="12"/>
    </row>
    <row r="406">
      <c r="A406" s="110"/>
      <c r="B406" s="12"/>
    </row>
    <row r="407">
      <c r="A407" s="110"/>
      <c r="B407" s="12"/>
    </row>
    <row r="408">
      <c r="A408" s="110"/>
      <c r="B408" s="12"/>
    </row>
    <row r="409">
      <c r="A409" s="110"/>
      <c r="B409" s="12"/>
    </row>
    <row r="410">
      <c r="A410" s="110"/>
      <c r="B410" s="12"/>
    </row>
    <row r="411">
      <c r="A411" s="110"/>
      <c r="B411" s="12"/>
    </row>
    <row r="412">
      <c r="A412" s="110"/>
      <c r="B412" s="12"/>
    </row>
    <row r="413">
      <c r="A413" s="110"/>
      <c r="B413" s="12"/>
    </row>
    <row r="414">
      <c r="A414" s="110"/>
      <c r="B414" s="12"/>
    </row>
    <row r="415">
      <c r="A415" s="110"/>
      <c r="B415" s="12"/>
    </row>
    <row r="416">
      <c r="A416" s="110"/>
      <c r="B416" s="12"/>
    </row>
    <row r="417">
      <c r="A417" s="110"/>
      <c r="B417" s="12"/>
    </row>
    <row r="418">
      <c r="A418" s="110"/>
      <c r="B418" s="12"/>
    </row>
    <row r="419">
      <c r="A419" s="110"/>
      <c r="B419" s="12"/>
    </row>
    <row r="420">
      <c r="A420" s="110"/>
      <c r="B420" s="12"/>
    </row>
    <row r="421">
      <c r="A421" s="110"/>
      <c r="B421" s="12"/>
    </row>
    <row r="422">
      <c r="A422" s="110"/>
      <c r="B422" s="12"/>
    </row>
    <row r="423">
      <c r="A423" s="110"/>
      <c r="B423" s="12"/>
    </row>
    <row r="424">
      <c r="A424" s="110"/>
      <c r="B424" s="12"/>
    </row>
    <row r="425">
      <c r="A425" s="110"/>
      <c r="B425" s="12"/>
    </row>
    <row r="426">
      <c r="A426" s="110"/>
      <c r="B426" s="12"/>
    </row>
    <row r="427">
      <c r="A427" s="110"/>
      <c r="B427" s="12"/>
    </row>
    <row r="428">
      <c r="A428" s="110"/>
      <c r="B428" s="12"/>
    </row>
    <row r="429">
      <c r="A429" s="110"/>
      <c r="B429" s="12"/>
    </row>
    <row r="430">
      <c r="A430" s="110"/>
      <c r="B430" s="12"/>
    </row>
    <row r="431">
      <c r="A431" s="110"/>
      <c r="B431" s="12"/>
    </row>
    <row r="432">
      <c r="A432" s="110"/>
      <c r="B432" s="12"/>
    </row>
    <row r="433">
      <c r="A433" s="110"/>
      <c r="B433" s="12"/>
    </row>
    <row r="434">
      <c r="A434" s="110"/>
      <c r="B434" s="12"/>
    </row>
    <row r="435">
      <c r="A435" s="110"/>
      <c r="B435" s="12"/>
    </row>
    <row r="436">
      <c r="A436" s="110"/>
      <c r="B436" s="12"/>
    </row>
    <row r="437">
      <c r="A437" s="110"/>
      <c r="B437" s="12"/>
    </row>
    <row r="438">
      <c r="A438" s="110"/>
      <c r="B438" s="12"/>
    </row>
    <row r="439">
      <c r="A439" s="110"/>
      <c r="B439" s="12"/>
    </row>
    <row r="440">
      <c r="A440" s="110"/>
      <c r="B440" s="12"/>
    </row>
    <row r="441">
      <c r="A441" s="110"/>
      <c r="B441" s="12"/>
    </row>
    <row r="442">
      <c r="A442" s="110"/>
      <c r="B442" s="12"/>
    </row>
    <row r="443">
      <c r="A443" s="110"/>
      <c r="B443" s="12"/>
    </row>
    <row r="444">
      <c r="A444" s="110"/>
      <c r="B444" s="12"/>
    </row>
    <row r="445">
      <c r="A445" s="110"/>
      <c r="B445" s="12"/>
    </row>
    <row r="446">
      <c r="A446" s="110"/>
      <c r="B446" s="12"/>
    </row>
    <row r="447">
      <c r="A447" s="110"/>
      <c r="B447" s="12"/>
    </row>
    <row r="448">
      <c r="A448" s="110"/>
      <c r="B448" s="12"/>
    </row>
    <row r="449">
      <c r="A449" s="110"/>
      <c r="B449" s="12"/>
    </row>
    <row r="450">
      <c r="A450" s="110"/>
      <c r="B450" s="12"/>
    </row>
    <row r="451">
      <c r="A451" s="110"/>
      <c r="B451" s="12"/>
    </row>
    <row r="452">
      <c r="A452" s="110"/>
      <c r="B452" s="12"/>
    </row>
    <row r="453">
      <c r="A453" s="110"/>
      <c r="B453" s="12"/>
    </row>
    <row r="454">
      <c r="A454" s="110"/>
      <c r="B454" s="12"/>
    </row>
    <row r="455">
      <c r="A455" s="110"/>
      <c r="B455" s="12"/>
    </row>
    <row r="456">
      <c r="A456" s="110"/>
      <c r="B456" s="12"/>
    </row>
    <row r="457">
      <c r="A457" s="110"/>
      <c r="B457" s="12"/>
    </row>
    <row r="458">
      <c r="A458" s="110"/>
      <c r="B458" s="12"/>
    </row>
    <row r="459">
      <c r="A459" s="110"/>
      <c r="B459" s="12"/>
    </row>
    <row r="460">
      <c r="A460" s="110"/>
      <c r="B460" s="12"/>
    </row>
    <row r="461">
      <c r="A461" s="110"/>
      <c r="B461" s="12"/>
    </row>
    <row r="462">
      <c r="A462" s="110"/>
      <c r="B462" s="12"/>
    </row>
    <row r="463">
      <c r="A463" s="110"/>
      <c r="B463" s="12"/>
    </row>
    <row r="464">
      <c r="A464" s="110"/>
      <c r="B464" s="12"/>
    </row>
    <row r="465">
      <c r="A465" s="110"/>
      <c r="B465" s="12"/>
    </row>
    <row r="466">
      <c r="A466" s="110"/>
      <c r="B466" s="12"/>
    </row>
    <row r="467">
      <c r="A467" s="110"/>
      <c r="B467" s="12"/>
    </row>
    <row r="468">
      <c r="A468" s="110"/>
      <c r="B468" s="12"/>
    </row>
    <row r="469">
      <c r="A469" s="110"/>
      <c r="B469" s="12"/>
    </row>
    <row r="470">
      <c r="A470" s="110"/>
      <c r="B470" s="12"/>
    </row>
    <row r="471">
      <c r="A471" s="110"/>
      <c r="B471" s="12"/>
    </row>
    <row r="472">
      <c r="A472" s="110"/>
      <c r="B472" s="12"/>
    </row>
    <row r="473">
      <c r="A473" s="110"/>
      <c r="B473" s="12"/>
    </row>
    <row r="474">
      <c r="A474" s="110"/>
      <c r="B474" s="12"/>
    </row>
    <row r="475">
      <c r="A475" s="110"/>
      <c r="B475" s="12"/>
    </row>
    <row r="476">
      <c r="A476" s="110"/>
      <c r="B476" s="12"/>
    </row>
    <row r="477">
      <c r="A477" s="110"/>
      <c r="B477" s="12"/>
    </row>
    <row r="478">
      <c r="A478" s="110"/>
      <c r="B478" s="12"/>
    </row>
    <row r="479">
      <c r="A479" s="110"/>
      <c r="B479" s="12"/>
    </row>
    <row r="480">
      <c r="A480" s="110"/>
      <c r="B480" s="12"/>
    </row>
    <row r="481">
      <c r="A481" s="110"/>
      <c r="B481" s="12"/>
    </row>
    <row r="482">
      <c r="A482" s="110"/>
      <c r="B482" s="12"/>
    </row>
    <row r="483">
      <c r="A483" s="110"/>
      <c r="B483" s="12"/>
    </row>
    <row r="484">
      <c r="A484" s="110"/>
      <c r="B484" s="12"/>
    </row>
    <row r="485">
      <c r="A485" s="110"/>
      <c r="B485" s="12"/>
    </row>
    <row r="486">
      <c r="A486" s="110"/>
      <c r="B486" s="12"/>
    </row>
    <row r="487">
      <c r="A487" s="110"/>
      <c r="B487" s="12"/>
    </row>
    <row r="488">
      <c r="A488" s="110"/>
      <c r="B488" s="12"/>
    </row>
    <row r="489">
      <c r="A489" s="110"/>
      <c r="B489" s="12"/>
    </row>
    <row r="490">
      <c r="A490" s="110"/>
      <c r="B490" s="12"/>
    </row>
    <row r="491">
      <c r="A491" s="110"/>
      <c r="B491" s="12"/>
    </row>
    <row r="492">
      <c r="A492" s="110"/>
      <c r="B492" s="12"/>
    </row>
    <row r="493">
      <c r="A493" s="110"/>
      <c r="B493" s="12"/>
    </row>
    <row r="494">
      <c r="A494" s="110"/>
      <c r="B494" s="12"/>
    </row>
    <row r="495">
      <c r="A495" s="110"/>
      <c r="B495" s="12"/>
    </row>
    <row r="496">
      <c r="A496" s="110"/>
      <c r="B496" s="12"/>
    </row>
    <row r="497">
      <c r="A497" s="110"/>
      <c r="B497" s="12"/>
    </row>
    <row r="498">
      <c r="A498" s="110"/>
      <c r="B498" s="12"/>
    </row>
    <row r="499">
      <c r="A499" s="110"/>
      <c r="B499" s="12"/>
    </row>
    <row r="500">
      <c r="A500" s="110"/>
      <c r="B500" s="12"/>
    </row>
    <row r="501">
      <c r="A501" s="110"/>
      <c r="B501" s="12"/>
    </row>
    <row r="502">
      <c r="A502" s="110"/>
      <c r="B502" s="12"/>
    </row>
    <row r="503">
      <c r="A503" s="110"/>
      <c r="B503" s="12"/>
    </row>
    <row r="504">
      <c r="A504" s="110"/>
      <c r="B504" s="12"/>
    </row>
    <row r="505">
      <c r="A505" s="110"/>
      <c r="B505" s="12"/>
    </row>
    <row r="506">
      <c r="A506" s="110"/>
      <c r="B506" s="12"/>
    </row>
    <row r="507">
      <c r="A507" s="110"/>
      <c r="B507" s="12"/>
    </row>
    <row r="508">
      <c r="A508" s="110"/>
      <c r="B508" s="12"/>
    </row>
    <row r="509">
      <c r="A509" s="110"/>
      <c r="B509" s="12"/>
    </row>
    <row r="510">
      <c r="A510" s="110"/>
      <c r="B510" s="12"/>
    </row>
    <row r="511">
      <c r="A511" s="110"/>
      <c r="B511" s="12"/>
    </row>
    <row r="512">
      <c r="A512" s="110"/>
      <c r="B512" s="12"/>
    </row>
    <row r="513">
      <c r="A513" s="110"/>
      <c r="B513" s="12"/>
    </row>
    <row r="514">
      <c r="A514" s="110"/>
      <c r="B514" s="12"/>
    </row>
    <row r="515">
      <c r="A515" s="110"/>
      <c r="B515" s="12"/>
    </row>
    <row r="516">
      <c r="A516" s="110"/>
      <c r="B516" s="12"/>
    </row>
    <row r="517">
      <c r="A517" s="110"/>
      <c r="B517" s="12"/>
    </row>
    <row r="518">
      <c r="A518" s="110"/>
      <c r="B518" s="12"/>
    </row>
    <row r="519">
      <c r="A519" s="110"/>
      <c r="B519" s="12"/>
    </row>
    <row r="520">
      <c r="A520" s="110"/>
      <c r="B520" s="12"/>
    </row>
    <row r="521">
      <c r="A521" s="110"/>
      <c r="B521" s="12"/>
    </row>
    <row r="522">
      <c r="A522" s="110"/>
      <c r="B522" s="12"/>
    </row>
    <row r="523">
      <c r="A523" s="110"/>
      <c r="B523" s="12"/>
    </row>
    <row r="524">
      <c r="A524" s="110"/>
      <c r="B524" s="12"/>
    </row>
    <row r="525">
      <c r="A525" s="110"/>
      <c r="B525" s="12"/>
    </row>
    <row r="526">
      <c r="A526" s="110"/>
      <c r="B526" s="12"/>
    </row>
    <row r="527">
      <c r="A527" s="110"/>
      <c r="B527" s="12"/>
    </row>
    <row r="528">
      <c r="A528" s="110"/>
      <c r="B528" s="12"/>
    </row>
    <row r="529">
      <c r="A529" s="110"/>
      <c r="B529" s="12"/>
    </row>
    <row r="530">
      <c r="A530" s="110"/>
      <c r="B530" s="12"/>
    </row>
    <row r="531">
      <c r="A531" s="110"/>
      <c r="B531" s="12"/>
    </row>
    <row r="532">
      <c r="A532" s="110"/>
      <c r="B532" s="12"/>
    </row>
    <row r="533">
      <c r="A533" s="110"/>
      <c r="B533" s="12"/>
    </row>
    <row r="534">
      <c r="A534" s="110"/>
      <c r="B534" s="12"/>
    </row>
    <row r="535">
      <c r="A535" s="110"/>
      <c r="B535" s="12"/>
    </row>
    <row r="536">
      <c r="A536" s="110"/>
      <c r="B536" s="12"/>
    </row>
    <row r="537">
      <c r="A537" s="110"/>
      <c r="B537" s="12"/>
    </row>
    <row r="538">
      <c r="A538" s="110"/>
      <c r="B538" s="12"/>
    </row>
    <row r="539">
      <c r="A539" s="110"/>
      <c r="B539" s="12"/>
    </row>
    <row r="540">
      <c r="A540" s="110"/>
      <c r="B540" s="12"/>
    </row>
    <row r="541">
      <c r="A541" s="110"/>
      <c r="B541" s="12"/>
    </row>
    <row r="542">
      <c r="A542" s="110"/>
      <c r="B542" s="12"/>
    </row>
    <row r="543">
      <c r="A543" s="110"/>
      <c r="B543" s="12"/>
    </row>
    <row r="544">
      <c r="A544" s="110"/>
      <c r="B544" s="12"/>
    </row>
    <row r="545">
      <c r="A545" s="110"/>
      <c r="B545" s="12"/>
    </row>
    <row r="546">
      <c r="A546" s="110"/>
      <c r="B546" s="12"/>
    </row>
    <row r="547">
      <c r="A547" s="110"/>
      <c r="B547" s="12"/>
    </row>
    <row r="548">
      <c r="A548" s="110"/>
      <c r="B548" s="12"/>
    </row>
    <row r="549">
      <c r="A549" s="110"/>
      <c r="B549" s="12"/>
    </row>
    <row r="550">
      <c r="A550" s="110"/>
      <c r="B550" s="12"/>
    </row>
    <row r="551">
      <c r="A551" s="110"/>
      <c r="B551" s="12"/>
    </row>
    <row r="552">
      <c r="A552" s="110"/>
      <c r="B552" s="12"/>
    </row>
    <row r="553">
      <c r="A553" s="110"/>
      <c r="B553" s="12"/>
    </row>
    <row r="554">
      <c r="A554" s="110"/>
      <c r="B554" s="12"/>
    </row>
    <row r="555">
      <c r="A555" s="110"/>
      <c r="B555" s="12"/>
    </row>
    <row r="556">
      <c r="A556" s="110"/>
      <c r="B556" s="12"/>
    </row>
    <row r="557">
      <c r="A557" s="110"/>
      <c r="B557" s="12"/>
    </row>
    <row r="558">
      <c r="A558" s="110"/>
      <c r="B558" s="12"/>
    </row>
    <row r="559">
      <c r="A559" s="110"/>
      <c r="B559" s="12"/>
    </row>
    <row r="560">
      <c r="A560" s="110"/>
      <c r="B560" s="12"/>
    </row>
    <row r="561">
      <c r="A561" s="110"/>
      <c r="B561" s="12"/>
    </row>
    <row r="562">
      <c r="A562" s="110"/>
      <c r="B562" s="12"/>
    </row>
    <row r="563">
      <c r="A563" s="110"/>
      <c r="B563" s="12"/>
    </row>
    <row r="564">
      <c r="A564" s="110"/>
      <c r="B564" s="12"/>
    </row>
    <row r="565">
      <c r="A565" s="110"/>
      <c r="B565" s="12"/>
    </row>
    <row r="566">
      <c r="A566" s="110"/>
      <c r="B566" s="12"/>
    </row>
    <row r="567">
      <c r="A567" s="110"/>
      <c r="B567" s="12"/>
    </row>
    <row r="568">
      <c r="A568" s="110"/>
      <c r="B568" s="12"/>
    </row>
    <row r="569">
      <c r="A569" s="110"/>
      <c r="B569" s="12"/>
    </row>
    <row r="570">
      <c r="A570" s="110"/>
      <c r="B570" s="12"/>
    </row>
    <row r="571">
      <c r="A571" s="110"/>
      <c r="B571" s="12"/>
    </row>
    <row r="572">
      <c r="A572" s="110"/>
      <c r="B572" s="12"/>
    </row>
    <row r="573">
      <c r="A573" s="110"/>
      <c r="B573" s="12"/>
    </row>
    <row r="574">
      <c r="A574" s="110"/>
      <c r="B574" s="12"/>
    </row>
    <row r="575">
      <c r="A575" s="110"/>
      <c r="B575" s="12"/>
    </row>
    <row r="576">
      <c r="A576" s="110"/>
      <c r="B576" s="12"/>
    </row>
    <row r="577">
      <c r="A577" s="110"/>
      <c r="B577" s="12"/>
    </row>
    <row r="578">
      <c r="A578" s="110"/>
      <c r="B578" s="12"/>
    </row>
    <row r="579">
      <c r="A579" s="110"/>
      <c r="B579" s="12"/>
    </row>
    <row r="580">
      <c r="A580" s="110"/>
      <c r="B580" s="12"/>
    </row>
    <row r="581">
      <c r="A581" s="110"/>
      <c r="B581" s="12"/>
    </row>
    <row r="582">
      <c r="A582" s="110"/>
      <c r="B582" s="12"/>
    </row>
    <row r="583">
      <c r="A583" s="110"/>
      <c r="B583" s="12"/>
    </row>
    <row r="584">
      <c r="A584" s="110"/>
      <c r="B584" s="12"/>
    </row>
    <row r="585">
      <c r="A585" s="110"/>
      <c r="B585" s="12"/>
    </row>
    <row r="586">
      <c r="A586" s="110"/>
      <c r="B586" s="12"/>
    </row>
    <row r="587">
      <c r="A587" s="110"/>
      <c r="B587" s="12"/>
    </row>
    <row r="588">
      <c r="A588" s="110"/>
      <c r="B588" s="12"/>
    </row>
    <row r="589">
      <c r="A589" s="110"/>
      <c r="B589" s="12"/>
    </row>
    <row r="590">
      <c r="A590" s="110"/>
      <c r="B590" s="12"/>
    </row>
    <row r="591">
      <c r="A591" s="110"/>
      <c r="B591" s="12"/>
    </row>
    <row r="592">
      <c r="A592" s="110"/>
      <c r="B592" s="12"/>
    </row>
    <row r="593">
      <c r="A593" s="110"/>
      <c r="B593" s="12"/>
    </row>
    <row r="594">
      <c r="A594" s="110"/>
      <c r="B594" s="12"/>
    </row>
    <row r="595">
      <c r="A595" s="110"/>
      <c r="B595" s="12"/>
    </row>
    <row r="596">
      <c r="A596" s="110"/>
      <c r="B596" s="12"/>
    </row>
    <row r="597">
      <c r="A597" s="110"/>
      <c r="B597" s="12"/>
    </row>
    <row r="598">
      <c r="A598" s="110"/>
      <c r="B598" s="12"/>
    </row>
    <row r="599">
      <c r="A599" s="110"/>
      <c r="B599" s="12"/>
    </row>
    <row r="600">
      <c r="A600" s="110"/>
      <c r="B600" s="12"/>
    </row>
    <row r="601">
      <c r="A601" s="110"/>
      <c r="B601" s="12"/>
    </row>
    <row r="602">
      <c r="A602" s="110"/>
      <c r="B602" s="12"/>
    </row>
    <row r="603">
      <c r="A603" s="110"/>
      <c r="B603" s="12"/>
    </row>
    <row r="604">
      <c r="A604" s="110"/>
      <c r="B604" s="12"/>
    </row>
    <row r="605">
      <c r="A605" s="110"/>
      <c r="B605" s="12"/>
    </row>
    <row r="606">
      <c r="A606" s="110"/>
      <c r="B606" s="12"/>
    </row>
    <row r="607">
      <c r="A607" s="110"/>
      <c r="B607" s="12"/>
    </row>
    <row r="608">
      <c r="A608" s="110"/>
      <c r="B608" s="12"/>
    </row>
    <row r="609">
      <c r="A609" s="110"/>
      <c r="B609" s="12"/>
    </row>
    <row r="610">
      <c r="A610" s="110"/>
      <c r="B610" s="12"/>
    </row>
    <row r="611">
      <c r="A611" s="110"/>
      <c r="B611" s="12"/>
    </row>
    <row r="612">
      <c r="A612" s="110"/>
      <c r="B612" s="12"/>
    </row>
    <row r="613">
      <c r="A613" s="110"/>
      <c r="B613" s="12"/>
    </row>
    <row r="614">
      <c r="A614" s="110"/>
      <c r="B614" s="12"/>
    </row>
    <row r="615">
      <c r="A615" s="110"/>
      <c r="B615" s="12"/>
    </row>
    <row r="616">
      <c r="A616" s="110"/>
      <c r="B616" s="12"/>
    </row>
    <row r="617">
      <c r="A617" s="110"/>
      <c r="B617" s="12"/>
    </row>
    <row r="618">
      <c r="A618" s="110"/>
      <c r="B618" s="12"/>
    </row>
    <row r="619">
      <c r="A619" s="110"/>
      <c r="B619" s="12"/>
    </row>
    <row r="620">
      <c r="A620" s="110"/>
      <c r="B620" s="12"/>
    </row>
    <row r="621">
      <c r="A621" s="110"/>
      <c r="B621" s="12"/>
    </row>
    <row r="622">
      <c r="A622" s="110"/>
      <c r="B622" s="12"/>
    </row>
    <row r="623">
      <c r="A623" s="110"/>
      <c r="B623" s="12"/>
    </row>
    <row r="624">
      <c r="A624" s="110"/>
      <c r="B624" s="12"/>
    </row>
    <row r="625">
      <c r="A625" s="110"/>
      <c r="B625" s="12"/>
    </row>
    <row r="626">
      <c r="A626" s="110"/>
      <c r="B626" s="12"/>
    </row>
    <row r="627">
      <c r="A627" s="110"/>
      <c r="B627" s="12"/>
    </row>
    <row r="628">
      <c r="A628" s="110"/>
      <c r="B628" s="12"/>
    </row>
    <row r="629">
      <c r="A629" s="110"/>
      <c r="B629" s="12"/>
    </row>
    <row r="630">
      <c r="A630" s="110"/>
      <c r="B630" s="12"/>
    </row>
    <row r="631">
      <c r="A631" s="110"/>
      <c r="B631" s="12"/>
    </row>
    <row r="632">
      <c r="A632" s="110"/>
      <c r="B632" s="12"/>
    </row>
    <row r="633">
      <c r="A633" s="110"/>
      <c r="B633" s="12"/>
    </row>
    <row r="634">
      <c r="A634" s="110"/>
      <c r="B634" s="12"/>
    </row>
    <row r="635">
      <c r="A635" s="110"/>
      <c r="B635" s="12"/>
    </row>
    <row r="636">
      <c r="A636" s="110"/>
      <c r="B636" s="12"/>
    </row>
    <row r="637">
      <c r="A637" s="110"/>
      <c r="B637" s="12"/>
    </row>
    <row r="638">
      <c r="A638" s="110"/>
      <c r="B638" s="12"/>
    </row>
    <row r="639">
      <c r="A639" s="110"/>
      <c r="B639" s="12"/>
    </row>
    <row r="640">
      <c r="A640" s="110"/>
      <c r="B640" s="12"/>
    </row>
    <row r="641">
      <c r="A641" s="110"/>
      <c r="B641" s="12"/>
    </row>
    <row r="642">
      <c r="A642" s="110"/>
      <c r="B642" s="12"/>
    </row>
    <row r="643">
      <c r="A643" s="110"/>
      <c r="B643" s="12"/>
    </row>
    <row r="644">
      <c r="A644" s="110"/>
      <c r="B644" s="12"/>
    </row>
    <row r="645">
      <c r="A645" s="110"/>
      <c r="B645" s="12"/>
    </row>
    <row r="646">
      <c r="A646" s="110"/>
      <c r="B646" s="12"/>
    </row>
    <row r="647">
      <c r="A647" s="110"/>
      <c r="B647" s="12"/>
    </row>
    <row r="648">
      <c r="A648" s="110"/>
      <c r="B648" s="12"/>
    </row>
    <row r="649">
      <c r="A649" s="110"/>
      <c r="B649" s="12"/>
    </row>
    <row r="650">
      <c r="A650" s="110"/>
      <c r="B650" s="12"/>
    </row>
    <row r="651">
      <c r="A651" s="110"/>
      <c r="B651" s="12"/>
    </row>
    <row r="652">
      <c r="A652" s="110"/>
      <c r="B652" s="12"/>
    </row>
    <row r="653">
      <c r="A653" s="110"/>
      <c r="B653" s="12"/>
    </row>
    <row r="654">
      <c r="A654" s="110"/>
      <c r="B654" s="12"/>
    </row>
    <row r="655">
      <c r="A655" s="110"/>
      <c r="B655" s="12"/>
    </row>
    <row r="656">
      <c r="A656" s="110"/>
      <c r="B656" s="12"/>
    </row>
    <row r="657">
      <c r="A657" s="110"/>
      <c r="B657" s="12"/>
    </row>
    <row r="658">
      <c r="A658" s="110"/>
      <c r="B658" s="12"/>
    </row>
    <row r="659">
      <c r="A659" s="110"/>
      <c r="B659" s="12"/>
    </row>
    <row r="660">
      <c r="A660" s="110"/>
      <c r="B660" s="12"/>
    </row>
    <row r="661">
      <c r="A661" s="110"/>
      <c r="B661" s="12"/>
    </row>
    <row r="662">
      <c r="A662" s="110"/>
      <c r="B662" s="12"/>
    </row>
    <row r="663">
      <c r="A663" s="110"/>
      <c r="B663" s="12"/>
    </row>
    <row r="664">
      <c r="A664" s="110"/>
      <c r="B664" s="12"/>
    </row>
    <row r="665">
      <c r="A665" s="110"/>
      <c r="B665" s="12"/>
    </row>
    <row r="666">
      <c r="A666" s="110"/>
      <c r="B666" s="12"/>
    </row>
    <row r="667">
      <c r="A667" s="110"/>
      <c r="B667" s="12"/>
    </row>
    <row r="668">
      <c r="A668" s="110"/>
      <c r="B668" s="12"/>
    </row>
    <row r="669">
      <c r="A669" s="110"/>
      <c r="B669" s="12"/>
    </row>
    <row r="670">
      <c r="A670" s="110"/>
      <c r="B670" s="12"/>
    </row>
    <row r="671">
      <c r="A671" s="110"/>
      <c r="B671" s="12"/>
    </row>
    <row r="672">
      <c r="A672" s="110"/>
      <c r="B672" s="12"/>
    </row>
    <row r="673">
      <c r="A673" s="110"/>
      <c r="B673" s="12"/>
    </row>
    <row r="674">
      <c r="A674" s="110"/>
      <c r="B674" s="12"/>
    </row>
    <row r="675">
      <c r="A675" s="110"/>
      <c r="B675" s="12"/>
    </row>
    <row r="676">
      <c r="A676" s="110"/>
      <c r="B676" s="12"/>
    </row>
    <row r="677">
      <c r="A677" s="110"/>
      <c r="B677" s="12"/>
    </row>
    <row r="678">
      <c r="A678" s="110"/>
      <c r="B678" s="12"/>
    </row>
    <row r="679">
      <c r="A679" s="110"/>
      <c r="B679" s="12"/>
    </row>
    <row r="680">
      <c r="A680" s="110"/>
      <c r="B680" s="12"/>
    </row>
    <row r="681">
      <c r="A681" s="110"/>
      <c r="B681" s="12"/>
    </row>
    <row r="682">
      <c r="A682" s="110"/>
      <c r="B682" s="12"/>
    </row>
    <row r="683">
      <c r="A683" s="110"/>
      <c r="B683" s="12"/>
    </row>
    <row r="684">
      <c r="A684" s="110"/>
      <c r="B684" s="12"/>
    </row>
    <row r="685">
      <c r="A685" s="110"/>
      <c r="B685" s="12"/>
    </row>
    <row r="686">
      <c r="A686" s="110"/>
      <c r="B686" s="12"/>
    </row>
    <row r="687">
      <c r="A687" s="110"/>
      <c r="B687" s="12"/>
    </row>
    <row r="688">
      <c r="A688" s="110"/>
      <c r="B688" s="12"/>
    </row>
    <row r="689">
      <c r="A689" s="110"/>
      <c r="B689" s="12"/>
    </row>
    <row r="690">
      <c r="A690" s="110"/>
      <c r="B690" s="12"/>
    </row>
    <row r="691">
      <c r="A691" s="110"/>
      <c r="B691" s="12"/>
    </row>
    <row r="692">
      <c r="A692" s="110"/>
      <c r="B692" s="12"/>
    </row>
    <row r="693">
      <c r="A693" s="110"/>
      <c r="B693" s="12"/>
    </row>
    <row r="694">
      <c r="A694" s="110"/>
      <c r="B694" s="12"/>
    </row>
    <row r="695">
      <c r="A695" s="110"/>
      <c r="B695" s="12"/>
    </row>
    <row r="696">
      <c r="A696" s="110"/>
      <c r="B696" s="12"/>
    </row>
    <row r="697">
      <c r="A697" s="110"/>
      <c r="B697" s="12"/>
    </row>
    <row r="698">
      <c r="A698" s="110"/>
      <c r="B698" s="12"/>
    </row>
    <row r="699">
      <c r="A699" s="110"/>
      <c r="B699" s="12"/>
    </row>
    <row r="700">
      <c r="A700" s="110"/>
      <c r="B700" s="12"/>
    </row>
    <row r="701">
      <c r="A701" s="110"/>
      <c r="B701" s="12"/>
    </row>
    <row r="702">
      <c r="A702" s="110"/>
      <c r="B702" s="12"/>
    </row>
    <row r="703">
      <c r="A703" s="110"/>
      <c r="B703" s="12"/>
    </row>
    <row r="704">
      <c r="A704" s="110"/>
      <c r="B704" s="12"/>
    </row>
    <row r="705">
      <c r="A705" s="110"/>
      <c r="B705" s="12"/>
    </row>
    <row r="706">
      <c r="A706" s="110"/>
      <c r="B706" s="12"/>
    </row>
    <row r="707">
      <c r="A707" s="110"/>
      <c r="B707" s="12"/>
    </row>
    <row r="708">
      <c r="A708" s="110"/>
      <c r="B708" s="12"/>
    </row>
    <row r="709">
      <c r="A709" s="110"/>
      <c r="B709" s="12"/>
    </row>
    <row r="710">
      <c r="A710" s="110"/>
      <c r="B710" s="12"/>
    </row>
    <row r="711">
      <c r="A711" s="110"/>
      <c r="B711" s="12"/>
    </row>
    <row r="712">
      <c r="A712" s="110"/>
      <c r="B712" s="12"/>
    </row>
    <row r="713">
      <c r="A713" s="110"/>
      <c r="B713" s="12"/>
    </row>
    <row r="714">
      <c r="A714" s="110"/>
      <c r="B714" s="12"/>
    </row>
    <row r="715">
      <c r="A715" s="110"/>
      <c r="B715" s="12"/>
    </row>
    <row r="716">
      <c r="A716" s="110"/>
      <c r="B716" s="12"/>
    </row>
    <row r="717">
      <c r="A717" s="110"/>
      <c r="B717" s="12"/>
    </row>
    <row r="718">
      <c r="A718" s="110"/>
      <c r="B718" s="12"/>
    </row>
    <row r="719">
      <c r="A719" s="110"/>
      <c r="B719" s="12"/>
    </row>
    <row r="720">
      <c r="A720" s="110"/>
      <c r="B720" s="12"/>
    </row>
    <row r="721">
      <c r="A721" s="110"/>
      <c r="B721" s="12"/>
    </row>
    <row r="722">
      <c r="A722" s="110"/>
      <c r="B722" s="12"/>
    </row>
    <row r="723">
      <c r="A723" s="110"/>
      <c r="B723" s="12"/>
    </row>
    <row r="724">
      <c r="A724" s="110"/>
      <c r="B724" s="12"/>
    </row>
    <row r="725">
      <c r="A725" s="110"/>
      <c r="B725" s="12"/>
    </row>
    <row r="726">
      <c r="A726" s="110"/>
      <c r="B726" s="12"/>
    </row>
    <row r="727">
      <c r="A727" s="110"/>
      <c r="B727" s="12"/>
    </row>
    <row r="728">
      <c r="A728" s="110"/>
      <c r="B728" s="12"/>
    </row>
    <row r="729">
      <c r="A729" s="110"/>
      <c r="B729" s="12"/>
    </row>
    <row r="730">
      <c r="A730" s="110"/>
      <c r="B730" s="12"/>
    </row>
    <row r="731">
      <c r="A731" s="110"/>
      <c r="B731" s="12"/>
    </row>
    <row r="732">
      <c r="A732" s="110"/>
      <c r="B732" s="12"/>
    </row>
    <row r="733">
      <c r="A733" s="110"/>
      <c r="B733" s="12"/>
    </row>
    <row r="734">
      <c r="A734" s="110"/>
      <c r="B734" s="12"/>
    </row>
    <row r="735">
      <c r="A735" s="110"/>
      <c r="B735" s="12"/>
    </row>
    <row r="736">
      <c r="A736" s="110"/>
      <c r="B736" s="12"/>
    </row>
    <row r="737">
      <c r="A737" s="110"/>
      <c r="B737" s="12"/>
    </row>
    <row r="738">
      <c r="A738" s="110"/>
      <c r="B738" s="12"/>
    </row>
    <row r="739">
      <c r="A739" s="110"/>
      <c r="B739" s="12"/>
    </row>
    <row r="740">
      <c r="A740" s="110"/>
      <c r="B740" s="12"/>
    </row>
    <row r="741">
      <c r="A741" s="110"/>
      <c r="B741" s="12"/>
    </row>
    <row r="742">
      <c r="A742" s="110"/>
      <c r="B742" s="12"/>
    </row>
    <row r="743">
      <c r="A743" s="110"/>
      <c r="B743" s="12"/>
    </row>
    <row r="744">
      <c r="A744" s="110"/>
      <c r="B744" s="12"/>
    </row>
    <row r="745">
      <c r="A745" s="110"/>
      <c r="B745" s="12"/>
    </row>
    <row r="746">
      <c r="A746" s="110"/>
      <c r="B746" s="12"/>
    </row>
    <row r="747">
      <c r="A747" s="110"/>
      <c r="B747" s="12"/>
    </row>
    <row r="748">
      <c r="A748" s="110"/>
      <c r="B748" s="12"/>
    </row>
    <row r="749">
      <c r="A749" s="110"/>
      <c r="B749" s="12"/>
    </row>
    <row r="750">
      <c r="A750" s="110"/>
      <c r="B750" s="12"/>
    </row>
    <row r="751">
      <c r="A751" s="110"/>
      <c r="B751" s="12"/>
    </row>
    <row r="752">
      <c r="A752" s="110"/>
      <c r="B752" s="12"/>
    </row>
    <row r="753">
      <c r="A753" s="110"/>
      <c r="B753" s="12"/>
    </row>
    <row r="754">
      <c r="A754" s="110"/>
      <c r="B754" s="12"/>
    </row>
    <row r="755">
      <c r="A755" s="110"/>
      <c r="B755" s="12"/>
    </row>
    <row r="756">
      <c r="A756" s="110"/>
      <c r="B756" s="12"/>
    </row>
    <row r="757">
      <c r="A757" s="110"/>
      <c r="B757" s="12"/>
    </row>
    <row r="758">
      <c r="A758" s="110"/>
      <c r="B758" s="12"/>
    </row>
    <row r="759">
      <c r="A759" s="110"/>
      <c r="B759" s="12"/>
    </row>
    <row r="760">
      <c r="A760" s="110"/>
      <c r="B760" s="12"/>
    </row>
    <row r="761">
      <c r="A761" s="110"/>
      <c r="B761" s="12"/>
    </row>
    <row r="762">
      <c r="A762" s="110"/>
      <c r="B762" s="12"/>
    </row>
    <row r="763">
      <c r="A763" s="110"/>
      <c r="B763" s="12"/>
    </row>
    <row r="764">
      <c r="A764" s="110"/>
      <c r="B764" s="12"/>
    </row>
    <row r="765">
      <c r="A765" s="110"/>
      <c r="B765" s="12"/>
    </row>
    <row r="766">
      <c r="A766" s="110"/>
      <c r="B766" s="12"/>
    </row>
    <row r="767">
      <c r="A767" s="110"/>
      <c r="B767" s="12"/>
    </row>
    <row r="768">
      <c r="A768" s="110"/>
      <c r="B768" s="12"/>
    </row>
    <row r="769">
      <c r="A769" s="110"/>
      <c r="B769" s="12"/>
    </row>
    <row r="770">
      <c r="A770" s="110"/>
      <c r="B770" s="12"/>
    </row>
    <row r="771">
      <c r="A771" s="110"/>
      <c r="B771" s="12"/>
    </row>
    <row r="772">
      <c r="A772" s="110"/>
      <c r="B772" s="12"/>
    </row>
    <row r="773">
      <c r="A773" s="110"/>
      <c r="B773" s="12"/>
    </row>
    <row r="774">
      <c r="A774" s="110"/>
      <c r="B774" s="12"/>
    </row>
    <row r="775">
      <c r="A775" s="110"/>
      <c r="B775" s="12"/>
    </row>
    <row r="776">
      <c r="A776" s="110"/>
      <c r="B776" s="12"/>
    </row>
    <row r="777">
      <c r="A777" s="110"/>
      <c r="B777" s="12"/>
    </row>
    <row r="778">
      <c r="A778" s="110"/>
      <c r="B778" s="12"/>
    </row>
    <row r="779">
      <c r="A779" s="110"/>
      <c r="B779" s="12"/>
    </row>
    <row r="780">
      <c r="A780" s="110"/>
      <c r="B780" s="12"/>
    </row>
    <row r="781">
      <c r="A781" s="110"/>
      <c r="B781" s="12"/>
    </row>
    <row r="782">
      <c r="A782" s="110"/>
      <c r="B782" s="12"/>
    </row>
    <row r="783">
      <c r="A783" s="110"/>
      <c r="B783" s="12"/>
    </row>
    <row r="784">
      <c r="A784" s="110"/>
      <c r="B784" s="12"/>
    </row>
    <row r="785">
      <c r="A785" s="110"/>
      <c r="B785" s="12"/>
    </row>
    <row r="786">
      <c r="A786" s="110"/>
      <c r="B786" s="12"/>
    </row>
    <row r="787">
      <c r="A787" s="110"/>
      <c r="B787" s="12"/>
    </row>
    <row r="788">
      <c r="A788" s="110"/>
      <c r="B788" s="12"/>
    </row>
    <row r="789">
      <c r="A789" s="110"/>
      <c r="B789" s="12"/>
    </row>
    <row r="790">
      <c r="A790" s="110"/>
      <c r="B790" s="12"/>
    </row>
    <row r="791">
      <c r="A791" s="110"/>
      <c r="B791" s="12"/>
    </row>
    <row r="792">
      <c r="A792" s="110"/>
      <c r="B792" s="12"/>
    </row>
    <row r="793">
      <c r="A793" s="110"/>
      <c r="B793" s="12"/>
    </row>
    <row r="794">
      <c r="A794" s="110"/>
      <c r="B794" s="12"/>
    </row>
    <row r="795">
      <c r="A795" s="110"/>
      <c r="B795" s="12"/>
    </row>
    <row r="796">
      <c r="A796" s="110"/>
      <c r="B796" s="12"/>
    </row>
    <row r="797">
      <c r="A797" s="110"/>
      <c r="B797" s="12"/>
    </row>
    <row r="798">
      <c r="A798" s="110"/>
      <c r="B798" s="12"/>
    </row>
    <row r="799">
      <c r="A799" s="110"/>
      <c r="B799" s="12"/>
    </row>
    <row r="800">
      <c r="A800" s="110"/>
      <c r="B800" s="12"/>
    </row>
    <row r="801">
      <c r="A801" s="110"/>
      <c r="B801" s="12"/>
    </row>
    <row r="802">
      <c r="A802" s="110"/>
      <c r="B802" s="12"/>
    </row>
    <row r="803">
      <c r="A803" s="110"/>
      <c r="B803" s="12"/>
    </row>
    <row r="804">
      <c r="A804" s="110"/>
      <c r="B804" s="12"/>
    </row>
    <row r="805">
      <c r="A805" s="110"/>
      <c r="B805" s="12"/>
    </row>
    <row r="806">
      <c r="A806" s="110"/>
      <c r="B806" s="12"/>
    </row>
    <row r="807">
      <c r="A807" s="110"/>
      <c r="B807" s="12"/>
    </row>
    <row r="808">
      <c r="A808" s="110"/>
      <c r="B808" s="12"/>
    </row>
    <row r="809">
      <c r="A809" s="110"/>
      <c r="B809" s="12"/>
    </row>
    <row r="810">
      <c r="A810" s="110"/>
      <c r="B810" s="12"/>
    </row>
    <row r="811">
      <c r="A811" s="110"/>
      <c r="B811" s="12"/>
    </row>
    <row r="812">
      <c r="A812" s="110"/>
      <c r="B812" s="12"/>
    </row>
    <row r="813">
      <c r="A813" s="110"/>
      <c r="B813" s="12"/>
    </row>
    <row r="814">
      <c r="A814" s="110"/>
      <c r="B814" s="12"/>
    </row>
    <row r="815">
      <c r="A815" s="110"/>
      <c r="B815" s="12"/>
    </row>
    <row r="816">
      <c r="A816" s="110"/>
      <c r="B816" s="12"/>
    </row>
    <row r="817">
      <c r="A817" s="110"/>
      <c r="B817" s="12"/>
    </row>
    <row r="818">
      <c r="A818" s="110"/>
      <c r="B818" s="12"/>
    </row>
    <row r="819">
      <c r="A819" s="110"/>
      <c r="B819" s="12"/>
    </row>
    <row r="820">
      <c r="A820" s="110"/>
      <c r="B820" s="12"/>
    </row>
    <row r="821">
      <c r="A821" s="110"/>
      <c r="B821" s="12"/>
    </row>
    <row r="822">
      <c r="A822" s="110"/>
      <c r="B822" s="12"/>
    </row>
    <row r="823">
      <c r="A823" s="110"/>
      <c r="B823" s="12"/>
    </row>
    <row r="824">
      <c r="A824" s="110"/>
      <c r="B824" s="12"/>
    </row>
    <row r="825">
      <c r="A825" s="110"/>
      <c r="B825" s="12"/>
    </row>
    <row r="826">
      <c r="A826" s="110"/>
      <c r="B826" s="12"/>
    </row>
    <row r="827">
      <c r="A827" s="110"/>
      <c r="B827" s="12"/>
    </row>
    <row r="828">
      <c r="A828" s="110"/>
      <c r="B828" s="12"/>
    </row>
    <row r="829">
      <c r="A829" s="110"/>
      <c r="B829" s="12"/>
    </row>
    <row r="830">
      <c r="A830" s="110"/>
      <c r="B830" s="12"/>
    </row>
    <row r="831">
      <c r="A831" s="110"/>
      <c r="B831" s="12"/>
    </row>
    <row r="832">
      <c r="A832" s="110"/>
      <c r="B832" s="12"/>
    </row>
    <row r="833">
      <c r="A833" s="110"/>
      <c r="B833" s="12"/>
    </row>
    <row r="834">
      <c r="A834" s="110"/>
      <c r="B834" s="12"/>
    </row>
    <row r="835">
      <c r="A835" s="110"/>
      <c r="B835" s="12"/>
    </row>
    <row r="836">
      <c r="A836" s="110"/>
      <c r="B836" s="12"/>
    </row>
    <row r="837">
      <c r="A837" s="110"/>
      <c r="B837" s="12"/>
    </row>
    <row r="838">
      <c r="A838" s="110"/>
      <c r="B838" s="12"/>
    </row>
    <row r="839">
      <c r="A839" s="110"/>
      <c r="B839" s="12"/>
    </row>
    <row r="840">
      <c r="A840" s="110"/>
      <c r="B840" s="12"/>
    </row>
    <row r="841">
      <c r="A841" s="110"/>
      <c r="B841" s="12"/>
    </row>
    <row r="842">
      <c r="A842" s="110"/>
      <c r="B842" s="12"/>
    </row>
    <row r="843">
      <c r="A843" s="110"/>
      <c r="B843" s="12"/>
    </row>
    <row r="844">
      <c r="A844" s="110"/>
      <c r="B844" s="12"/>
    </row>
    <row r="845">
      <c r="A845" s="110"/>
      <c r="B845" s="12"/>
    </row>
    <row r="846">
      <c r="A846" s="110"/>
      <c r="B846" s="12"/>
    </row>
    <row r="847">
      <c r="A847" s="110"/>
      <c r="B847" s="12"/>
    </row>
    <row r="848">
      <c r="A848" s="110"/>
      <c r="B848" s="12"/>
    </row>
    <row r="849">
      <c r="A849" s="110"/>
      <c r="B849" s="12"/>
    </row>
    <row r="850">
      <c r="A850" s="110"/>
      <c r="B850" s="12"/>
    </row>
    <row r="851">
      <c r="A851" s="110"/>
      <c r="B851" s="12"/>
    </row>
    <row r="852">
      <c r="A852" s="110"/>
      <c r="B852" s="12"/>
    </row>
    <row r="853">
      <c r="A853" s="110"/>
      <c r="B853" s="12"/>
    </row>
    <row r="854">
      <c r="A854" s="110"/>
      <c r="B854" s="12"/>
    </row>
    <row r="855">
      <c r="A855" s="110"/>
      <c r="B855" s="12"/>
    </row>
    <row r="856">
      <c r="A856" s="110"/>
      <c r="B856" s="12"/>
    </row>
    <row r="857">
      <c r="A857" s="110"/>
      <c r="B857" s="12"/>
    </row>
    <row r="858">
      <c r="A858" s="110"/>
      <c r="B858" s="12"/>
    </row>
    <row r="859">
      <c r="A859" s="110"/>
      <c r="B859" s="12"/>
    </row>
    <row r="860">
      <c r="A860" s="110"/>
      <c r="B860" s="12"/>
    </row>
    <row r="861">
      <c r="A861" s="110"/>
      <c r="B861" s="12"/>
    </row>
    <row r="862">
      <c r="A862" s="110"/>
      <c r="B862" s="12"/>
    </row>
    <row r="863">
      <c r="A863" s="110"/>
      <c r="B863" s="12"/>
    </row>
    <row r="864">
      <c r="A864" s="110"/>
      <c r="B864" s="12"/>
    </row>
    <row r="865">
      <c r="A865" s="110"/>
      <c r="B865" s="12"/>
    </row>
    <row r="866">
      <c r="A866" s="110"/>
      <c r="B866" s="12"/>
    </row>
    <row r="867">
      <c r="A867" s="110"/>
      <c r="B867" s="12"/>
    </row>
    <row r="868">
      <c r="A868" s="110"/>
      <c r="B868" s="12"/>
    </row>
    <row r="869">
      <c r="A869" s="110"/>
      <c r="B869" s="12"/>
    </row>
    <row r="870">
      <c r="A870" s="110"/>
      <c r="B870" s="12"/>
    </row>
    <row r="871">
      <c r="A871" s="110"/>
      <c r="B871" s="12"/>
    </row>
    <row r="872">
      <c r="A872" s="110"/>
      <c r="B872" s="12"/>
    </row>
    <row r="873">
      <c r="A873" s="110"/>
      <c r="B873" s="12"/>
    </row>
    <row r="874">
      <c r="A874" s="110"/>
      <c r="B874" s="12"/>
    </row>
    <row r="875">
      <c r="A875" s="110"/>
      <c r="B875" s="12"/>
    </row>
    <row r="876">
      <c r="A876" s="110"/>
      <c r="B876" s="12"/>
    </row>
    <row r="877">
      <c r="A877" s="110"/>
      <c r="B877" s="12"/>
    </row>
    <row r="878">
      <c r="A878" s="110"/>
      <c r="B878" s="12"/>
    </row>
    <row r="879">
      <c r="A879" s="110"/>
      <c r="B879" s="12"/>
    </row>
    <row r="880">
      <c r="A880" s="110"/>
      <c r="B880" s="12"/>
    </row>
    <row r="881">
      <c r="A881" s="110"/>
      <c r="B881" s="12"/>
    </row>
    <row r="882">
      <c r="A882" s="110"/>
      <c r="B882" s="12"/>
    </row>
    <row r="883">
      <c r="A883" s="110"/>
      <c r="B883" s="12"/>
    </row>
    <row r="884">
      <c r="A884" s="110"/>
      <c r="B884" s="12"/>
    </row>
    <row r="885">
      <c r="A885" s="110"/>
      <c r="B885" s="12"/>
    </row>
    <row r="886">
      <c r="A886" s="110"/>
      <c r="B886" s="12"/>
    </row>
    <row r="887">
      <c r="A887" s="110"/>
      <c r="B887" s="12"/>
    </row>
    <row r="888">
      <c r="A888" s="110"/>
      <c r="B888" s="12"/>
    </row>
    <row r="889">
      <c r="A889" s="110"/>
      <c r="B889" s="12"/>
    </row>
    <row r="890">
      <c r="A890" s="110"/>
      <c r="B890" s="12"/>
    </row>
    <row r="891">
      <c r="A891" s="110"/>
      <c r="B891" s="12"/>
    </row>
    <row r="892">
      <c r="A892" s="110"/>
      <c r="B892" s="12"/>
    </row>
    <row r="893">
      <c r="A893" s="110"/>
      <c r="B893" s="12"/>
    </row>
    <row r="894">
      <c r="A894" s="110"/>
      <c r="B894" s="12"/>
    </row>
    <row r="895">
      <c r="A895" s="110"/>
      <c r="B895" s="12"/>
    </row>
    <row r="896">
      <c r="A896" s="110"/>
      <c r="B896" s="12"/>
    </row>
    <row r="897">
      <c r="A897" s="110"/>
      <c r="B897" s="12"/>
    </row>
    <row r="898">
      <c r="A898" s="110"/>
      <c r="B898" s="12"/>
    </row>
    <row r="899">
      <c r="A899" s="110"/>
      <c r="B899" s="12"/>
    </row>
    <row r="900">
      <c r="A900" s="110"/>
      <c r="B900" s="12"/>
    </row>
    <row r="901">
      <c r="A901" s="110"/>
      <c r="B901" s="12"/>
    </row>
    <row r="902">
      <c r="A902" s="110"/>
      <c r="B902" s="12"/>
    </row>
    <row r="903">
      <c r="A903" s="110"/>
      <c r="B903" s="12"/>
    </row>
    <row r="904">
      <c r="A904" s="110"/>
      <c r="B904" s="12"/>
    </row>
    <row r="905">
      <c r="A905" s="110"/>
      <c r="B905" s="12"/>
    </row>
    <row r="906">
      <c r="A906" s="110"/>
      <c r="B906" s="12"/>
    </row>
    <row r="907">
      <c r="A907" s="110"/>
      <c r="B907" s="12"/>
    </row>
    <row r="908">
      <c r="A908" s="110"/>
      <c r="B908" s="12"/>
    </row>
    <row r="909">
      <c r="A909" s="110"/>
      <c r="B909" s="12"/>
    </row>
    <row r="910">
      <c r="A910" s="110"/>
      <c r="B910" s="12"/>
    </row>
    <row r="911">
      <c r="A911" s="110"/>
      <c r="B911" s="12"/>
    </row>
    <row r="912">
      <c r="A912" s="110"/>
      <c r="B912" s="12"/>
    </row>
    <row r="913">
      <c r="A913" s="110"/>
      <c r="B913" s="12"/>
    </row>
    <row r="914">
      <c r="A914" s="110"/>
      <c r="B914" s="12"/>
    </row>
    <row r="915">
      <c r="A915" s="110"/>
      <c r="B915" s="12"/>
    </row>
    <row r="916">
      <c r="A916" s="110"/>
      <c r="B916" s="12"/>
    </row>
    <row r="917">
      <c r="A917" s="110"/>
      <c r="B917" s="12"/>
    </row>
    <row r="918">
      <c r="A918" s="110"/>
      <c r="B918" s="12"/>
    </row>
    <row r="919">
      <c r="A919" s="110"/>
      <c r="B919" s="12"/>
    </row>
    <row r="920">
      <c r="A920" s="110"/>
      <c r="B920" s="12"/>
    </row>
    <row r="921">
      <c r="A921" s="110"/>
      <c r="B921" s="12"/>
    </row>
    <row r="922">
      <c r="A922" s="110"/>
      <c r="B922" s="12"/>
    </row>
    <row r="923">
      <c r="A923" s="110"/>
      <c r="B923" s="12"/>
    </row>
    <row r="924">
      <c r="A924" s="110"/>
      <c r="B924" s="12"/>
    </row>
    <row r="925">
      <c r="A925" s="110"/>
      <c r="B925" s="12"/>
    </row>
    <row r="926">
      <c r="A926" s="110"/>
      <c r="B926" s="12"/>
    </row>
    <row r="927">
      <c r="A927" s="110"/>
      <c r="B927" s="12"/>
    </row>
    <row r="928">
      <c r="A928" s="110"/>
      <c r="B928" s="12"/>
    </row>
    <row r="929">
      <c r="A929" s="110"/>
      <c r="B929" s="12"/>
    </row>
    <row r="930">
      <c r="A930" s="110"/>
      <c r="B930" s="12"/>
    </row>
    <row r="931">
      <c r="A931" s="110"/>
      <c r="B931" s="12"/>
    </row>
    <row r="932">
      <c r="A932" s="110"/>
      <c r="B932" s="12"/>
    </row>
    <row r="933">
      <c r="A933" s="110"/>
      <c r="B933" s="12"/>
    </row>
    <row r="934">
      <c r="A934" s="110"/>
      <c r="B934" s="12"/>
    </row>
    <row r="935">
      <c r="A935" s="110"/>
      <c r="B935" s="12"/>
    </row>
    <row r="936">
      <c r="A936" s="110"/>
      <c r="B936" s="12"/>
    </row>
    <row r="937">
      <c r="A937" s="110"/>
      <c r="B937" s="12"/>
    </row>
    <row r="938">
      <c r="A938" s="110"/>
      <c r="B938" s="12"/>
    </row>
    <row r="939">
      <c r="A939" s="110"/>
      <c r="B939" s="12"/>
    </row>
    <row r="940">
      <c r="A940" s="110"/>
      <c r="B940" s="12"/>
    </row>
    <row r="941">
      <c r="A941" s="110"/>
      <c r="B941" s="12"/>
    </row>
    <row r="942">
      <c r="A942" s="110"/>
      <c r="B942" s="12"/>
    </row>
    <row r="943">
      <c r="A943" s="110"/>
      <c r="B943" s="12"/>
    </row>
    <row r="944">
      <c r="A944" s="110"/>
      <c r="B944" s="12"/>
    </row>
    <row r="945">
      <c r="A945" s="110"/>
      <c r="B945" s="12"/>
    </row>
    <row r="946">
      <c r="A946" s="110"/>
      <c r="B946" s="12"/>
    </row>
    <row r="947">
      <c r="A947" s="110"/>
      <c r="B947" s="12"/>
    </row>
    <row r="948">
      <c r="A948" s="110"/>
      <c r="B948" s="12"/>
    </row>
    <row r="949">
      <c r="A949" s="110"/>
      <c r="B949" s="12"/>
    </row>
    <row r="950">
      <c r="A950" s="110"/>
      <c r="B950" s="12"/>
    </row>
    <row r="951">
      <c r="A951" s="110"/>
      <c r="B951" s="12"/>
    </row>
    <row r="952">
      <c r="A952" s="110"/>
      <c r="B952" s="12"/>
    </row>
    <row r="953">
      <c r="A953" s="110"/>
      <c r="B953" s="12"/>
    </row>
    <row r="954">
      <c r="A954" s="110"/>
      <c r="B954" s="12"/>
    </row>
    <row r="955">
      <c r="A955" s="110"/>
      <c r="B955" s="12"/>
    </row>
    <row r="956">
      <c r="A956" s="110"/>
      <c r="B956" s="12"/>
    </row>
    <row r="957">
      <c r="A957" s="110"/>
      <c r="B957" s="12"/>
    </row>
    <row r="958">
      <c r="A958" s="110"/>
      <c r="B958" s="12"/>
    </row>
    <row r="959">
      <c r="A959" s="110"/>
      <c r="B959" s="12"/>
    </row>
    <row r="960">
      <c r="A960" s="110"/>
      <c r="B960" s="12"/>
    </row>
    <row r="961">
      <c r="A961" s="110"/>
      <c r="B961" s="12"/>
    </row>
    <row r="962">
      <c r="A962" s="110"/>
      <c r="B962" s="12"/>
    </row>
    <row r="963">
      <c r="A963" s="110"/>
      <c r="B963" s="12"/>
    </row>
    <row r="964">
      <c r="A964" s="110"/>
      <c r="B964" s="12"/>
    </row>
    <row r="965">
      <c r="A965" s="110"/>
      <c r="B965" s="12"/>
    </row>
    <row r="966">
      <c r="A966" s="110"/>
      <c r="B966" s="12"/>
    </row>
    <row r="967">
      <c r="A967" s="110"/>
      <c r="B967" s="12"/>
    </row>
    <row r="968">
      <c r="A968" s="110"/>
      <c r="B968" s="12"/>
    </row>
    <row r="969">
      <c r="A969" s="110"/>
      <c r="B969" s="12"/>
    </row>
    <row r="970">
      <c r="A970" s="110"/>
      <c r="B970" s="12"/>
    </row>
    <row r="971">
      <c r="A971" s="110"/>
      <c r="B971" s="12"/>
    </row>
    <row r="972">
      <c r="A972" s="110"/>
      <c r="B972" s="12"/>
    </row>
    <row r="973">
      <c r="A973" s="110"/>
      <c r="B973" s="12"/>
    </row>
    <row r="974">
      <c r="A974" s="110"/>
      <c r="B974" s="12"/>
    </row>
    <row r="975">
      <c r="A975" s="110"/>
      <c r="B975" s="12"/>
    </row>
    <row r="976">
      <c r="A976" s="110"/>
      <c r="B976" s="12"/>
    </row>
    <row r="977">
      <c r="A977" s="110"/>
      <c r="B977" s="12"/>
    </row>
    <row r="978">
      <c r="A978" s="110"/>
      <c r="B978" s="12"/>
    </row>
    <row r="979">
      <c r="A979" s="110"/>
      <c r="B979" s="12"/>
    </row>
    <row r="980">
      <c r="A980" s="110"/>
      <c r="B980" s="12"/>
    </row>
    <row r="981">
      <c r="A981" s="110"/>
      <c r="B981" s="12"/>
    </row>
    <row r="982">
      <c r="A982" s="110"/>
      <c r="B982" s="12"/>
    </row>
    <row r="983">
      <c r="A983" s="110"/>
      <c r="B983" s="12"/>
    </row>
    <row r="984">
      <c r="A984" s="110"/>
      <c r="B984" s="12"/>
    </row>
    <row r="985">
      <c r="A985" s="110"/>
      <c r="B985" s="12"/>
    </row>
    <row r="986">
      <c r="A986" s="110"/>
      <c r="B986" s="12"/>
    </row>
    <row r="987">
      <c r="A987" s="110"/>
      <c r="B987" s="12"/>
    </row>
    <row r="988">
      <c r="A988" s="110"/>
      <c r="B988" s="12"/>
    </row>
    <row r="989">
      <c r="A989" s="110"/>
      <c r="B989" s="12"/>
    </row>
    <row r="990">
      <c r="A990" s="110"/>
      <c r="B990" s="12"/>
    </row>
    <row r="991">
      <c r="A991" s="110"/>
      <c r="B991" s="12"/>
    </row>
    <row r="992">
      <c r="A992" s="110"/>
      <c r="B992" s="12"/>
    </row>
    <row r="993">
      <c r="A993" s="110"/>
      <c r="B993" s="12"/>
    </row>
    <row r="994">
      <c r="A994" s="110"/>
      <c r="B994" s="12"/>
    </row>
    <row r="995">
      <c r="A995" s="110"/>
      <c r="B995" s="12"/>
    </row>
    <row r="996">
      <c r="A996" s="110"/>
      <c r="B996" s="12"/>
    </row>
    <row r="997">
      <c r="A997" s="110"/>
      <c r="B997" s="12"/>
    </row>
    <row r="998">
      <c r="A998" s="110"/>
      <c r="B998" s="12"/>
    </row>
    <row r="999">
      <c r="A999" s="110"/>
      <c r="B999" s="12"/>
    </row>
    <row r="1000">
      <c r="A1000" s="110"/>
      <c r="B1000" s="12"/>
    </row>
    <row r="1001">
      <c r="A1001" s="110"/>
      <c r="B1001" s="12"/>
    </row>
  </sheetData>
  <hyperlinks>
    <hyperlink r:id="rId4" ref="B17"/>
  </hyperlinks>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3.13"/>
    <col customWidth="1" min="2" max="2" width="14.0"/>
    <col customWidth="1" min="3" max="3" width="19.88"/>
  </cols>
  <sheetData>
    <row r="1">
      <c r="A1" s="152" t="s">
        <v>257</v>
      </c>
      <c r="B1" s="152" t="s">
        <v>21</v>
      </c>
      <c r="C1" s="153" t="s">
        <v>258</v>
      </c>
      <c r="D1" s="153" t="s">
        <v>21</v>
      </c>
      <c r="E1" s="14" t="s">
        <v>1</v>
      </c>
      <c r="F1" s="154" t="s">
        <v>259</v>
      </c>
      <c r="G1" s="31"/>
      <c r="H1" s="31"/>
      <c r="I1" s="31"/>
      <c r="J1" s="31"/>
      <c r="K1" s="31"/>
      <c r="L1" s="31"/>
      <c r="M1" s="31"/>
      <c r="N1" s="31"/>
      <c r="O1" s="31"/>
      <c r="P1" s="31"/>
      <c r="Q1" s="31"/>
      <c r="R1" s="31"/>
      <c r="S1" s="31"/>
      <c r="T1" s="31"/>
      <c r="U1" s="31"/>
      <c r="V1" s="31"/>
      <c r="W1" s="31"/>
      <c r="X1" s="31"/>
      <c r="Y1" s="31"/>
      <c r="Z1" s="31"/>
    </row>
    <row r="2">
      <c r="A2" s="5" t="s">
        <v>260</v>
      </c>
      <c r="B2" s="155">
        <v>1500.0</v>
      </c>
      <c r="C2" s="5" t="s">
        <v>261</v>
      </c>
      <c r="D2" s="156">
        <f>'Debt Owed Breakdown'!A20*-1</f>
        <v>-108973.46</v>
      </c>
      <c r="F2" s="157">
        <f>SUM(B14+D13)</f>
        <v>-13867.28</v>
      </c>
    </row>
    <row r="3">
      <c r="A3" s="5" t="s">
        <v>262</v>
      </c>
      <c r="B3" s="155">
        <v>14000.0</v>
      </c>
      <c r="C3" s="5" t="s">
        <v>263</v>
      </c>
      <c r="D3" s="158">
        <v>-149320.0</v>
      </c>
    </row>
    <row r="4">
      <c r="A4" s="5" t="s">
        <v>264</v>
      </c>
      <c r="B4" s="155">
        <v>4000.0</v>
      </c>
      <c r="C4" s="159" t="s">
        <v>265</v>
      </c>
      <c r="D4" s="158">
        <v>-9498.91</v>
      </c>
    </row>
    <row r="5">
      <c r="A5" s="5" t="s">
        <v>266</v>
      </c>
      <c r="B5" s="155">
        <v>1116.32</v>
      </c>
      <c r="C5" s="5" t="s">
        <v>267</v>
      </c>
      <c r="D5" s="156">
        <f>'Medical Bills'!C9*-1</f>
        <v>-888.37</v>
      </c>
      <c r="E5" s="5"/>
    </row>
    <row r="6">
      <c r="A6" s="5" t="s">
        <v>268</v>
      </c>
      <c r="B6" s="155">
        <v>51800.0</v>
      </c>
      <c r="C6" s="5" t="s">
        <v>269</v>
      </c>
      <c r="D6" s="158">
        <f>'Debt Owed Breakdown'!B15*-1</f>
        <v>-15512.01</v>
      </c>
    </row>
    <row r="7">
      <c r="A7" s="5" t="s">
        <v>270</v>
      </c>
      <c r="B7" s="155">
        <v>2649.73</v>
      </c>
      <c r="D7" s="156"/>
      <c r="E7" s="160"/>
    </row>
    <row r="8">
      <c r="A8" s="5" t="s">
        <v>271</v>
      </c>
      <c r="B8" s="155">
        <v>123201.0</v>
      </c>
      <c r="D8" s="156"/>
    </row>
    <row r="9">
      <c r="A9" s="5" t="s">
        <v>272</v>
      </c>
      <c r="B9" s="155">
        <v>63374.42</v>
      </c>
      <c r="D9" s="156"/>
    </row>
    <row r="10">
      <c r="A10" s="5" t="s">
        <v>273</v>
      </c>
      <c r="B10" s="155"/>
      <c r="D10" s="156"/>
    </row>
    <row r="11">
      <c r="A11" s="5" t="s">
        <v>274</v>
      </c>
      <c r="B11" s="155">
        <v>5784.0</v>
      </c>
      <c r="D11" s="156"/>
    </row>
    <row r="12">
      <c r="A12" s="5" t="s">
        <v>275</v>
      </c>
      <c r="B12" s="155">
        <v>400.0</v>
      </c>
      <c r="D12" s="156"/>
    </row>
    <row r="13">
      <c r="A13" s="5" t="s">
        <v>276</v>
      </c>
      <c r="B13" s="155">
        <v>2500.0</v>
      </c>
      <c r="C13" s="161" t="s">
        <v>138</v>
      </c>
      <c r="D13" s="162">
        <f>SUM(D2:D12)</f>
        <v>-284192.75</v>
      </c>
    </row>
    <row r="14">
      <c r="A14" s="161" t="s">
        <v>138</v>
      </c>
      <c r="B14" s="163">
        <f>SUM(B2:B13)</f>
        <v>270325.47</v>
      </c>
      <c r="D14" s="110"/>
    </row>
    <row r="15">
      <c r="B15" s="110"/>
      <c r="D15" s="110"/>
    </row>
    <row r="16">
      <c r="B16" s="110"/>
      <c r="D16" s="110"/>
    </row>
    <row r="17">
      <c r="B17" s="110"/>
      <c r="D17" s="110"/>
    </row>
    <row r="18">
      <c r="B18" s="110"/>
      <c r="D18" s="110"/>
    </row>
    <row r="19">
      <c r="B19" s="110"/>
      <c r="D19" s="110"/>
    </row>
    <row r="20">
      <c r="B20" s="110"/>
      <c r="D20" s="110"/>
    </row>
    <row r="21">
      <c r="B21" s="110"/>
      <c r="D21" s="110"/>
    </row>
    <row r="22">
      <c r="B22" s="110"/>
      <c r="D22" s="110"/>
    </row>
    <row r="23">
      <c r="B23" s="110"/>
      <c r="D23" s="110"/>
    </row>
    <row r="24">
      <c r="B24" s="110"/>
      <c r="D24" s="110"/>
    </row>
    <row r="25">
      <c r="B25" s="110"/>
      <c r="D25" s="110"/>
    </row>
    <row r="26">
      <c r="B26" s="110"/>
      <c r="D26" s="110"/>
    </row>
    <row r="27">
      <c r="B27" s="110"/>
      <c r="D27" s="110"/>
    </row>
    <row r="28">
      <c r="B28" s="110"/>
      <c r="D28" s="110"/>
    </row>
    <row r="29">
      <c r="B29" s="110"/>
      <c r="D29" s="110"/>
    </row>
    <row r="30">
      <c r="B30" s="110"/>
      <c r="D30" s="110"/>
    </row>
    <row r="31">
      <c r="B31" s="110"/>
      <c r="D31" s="110"/>
    </row>
    <row r="32">
      <c r="B32" s="110"/>
      <c r="D32" s="110"/>
    </row>
    <row r="33">
      <c r="B33" s="110"/>
      <c r="D33" s="110"/>
    </row>
    <row r="34">
      <c r="B34" s="110"/>
      <c r="D34" s="110"/>
    </row>
    <row r="35">
      <c r="B35" s="110"/>
      <c r="D35" s="110"/>
    </row>
    <row r="36">
      <c r="B36" s="110"/>
      <c r="D36" s="110"/>
    </row>
    <row r="37">
      <c r="B37" s="110"/>
      <c r="D37" s="110"/>
    </row>
    <row r="38">
      <c r="B38" s="110"/>
      <c r="D38" s="110"/>
    </row>
    <row r="39">
      <c r="B39" s="110"/>
      <c r="D39" s="110"/>
    </row>
    <row r="40">
      <c r="B40" s="110"/>
      <c r="D40" s="110"/>
    </row>
    <row r="41">
      <c r="B41" s="110"/>
      <c r="D41" s="110"/>
    </row>
    <row r="42">
      <c r="B42" s="110"/>
      <c r="D42" s="110"/>
    </row>
    <row r="43">
      <c r="B43" s="110"/>
      <c r="D43" s="110"/>
    </row>
    <row r="44">
      <c r="B44" s="110"/>
      <c r="D44" s="110"/>
    </row>
    <row r="45">
      <c r="B45" s="110"/>
      <c r="D45" s="110"/>
    </row>
    <row r="46">
      <c r="B46" s="110"/>
      <c r="D46" s="110"/>
    </row>
    <row r="47">
      <c r="B47" s="110"/>
      <c r="D47" s="110"/>
    </row>
    <row r="48">
      <c r="B48" s="110"/>
      <c r="D48" s="110"/>
    </row>
    <row r="49">
      <c r="B49" s="110"/>
      <c r="D49" s="110"/>
    </row>
    <row r="50">
      <c r="B50" s="110"/>
      <c r="D50" s="110"/>
    </row>
    <row r="51">
      <c r="B51" s="110"/>
      <c r="D51" s="110"/>
    </row>
    <row r="52">
      <c r="B52" s="110"/>
      <c r="D52" s="110"/>
    </row>
    <row r="53">
      <c r="B53" s="110"/>
      <c r="D53" s="110"/>
    </row>
    <row r="54">
      <c r="B54" s="110"/>
      <c r="D54" s="110"/>
    </row>
    <row r="55">
      <c r="B55" s="110"/>
      <c r="D55" s="110"/>
    </row>
    <row r="56">
      <c r="B56" s="110"/>
      <c r="D56" s="110"/>
    </row>
    <row r="57">
      <c r="B57" s="110"/>
      <c r="D57" s="110"/>
    </row>
    <row r="58">
      <c r="B58" s="110"/>
      <c r="D58" s="110"/>
    </row>
    <row r="59">
      <c r="B59" s="110"/>
      <c r="D59" s="110"/>
    </row>
    <row r="60">
      <c r="B60" s="110"/>
      <c r="D60" s="110"/>
    </row>
    <row r="61">
      <c r="B61" s="110"/>
      <c r="D61" s="110"/>
    </row>
    <row r="62">
      <c r="B62" s="110"/>
      <c r="D62" s="110"/>
    </row>
    <row r="63">
      <c r="B63" s="110"/>
      <c r="D63" s="110"/>
    </row>
    <row r="64">
      <c r="B64" s="110"/>
      <c r="D64" s="110"/>
    </row>
    <row r="65">
      <c r="B65" s="110"/>
      <c r="D65" s="110"/>
    </row>
    <row r="66">
      <c r="B66" s="110"/>
      <c r="D66" s="110"/>
    </row>
    <row r="67">
      <c r="B67" s="110"/>
      <c r="D67" s="110"/>
    </row>
    <row r="68">
      <c r="B68" s="110"/>
      <c r="D68" s="110"/>
    </row>
    <row r="69">
      <c r="B69" s="110"/>
      <c r="D69" s="110"/>
    </row>
    <row r="70">
      <c r="B70" s="110"/>
      <c r="D70" s="110"/>
    </row>
    <row r="71">
      <c r="B71" s="110"/>
      <c r="D71" s="110"/>
    </row>
    <row r="72">
      <c r="B72" s="110"/>
      <c r="D72" s="110"/>
    </row>
    <row r="73">
      <c r="B73" s="110"/>
      <c r="D73" s="110"/>
    </row>
    <row r="74">
      <c r="B74" s="110"/>
      <c r="D74" s="110"/>
    </row>
    <row r="75">
      <c r="B75" s="110"/>
      <c r="D75" s="110"/>
    </row>
    <row r="76">
      <c r="B76" s="110"/>
      <c r="D76" s="110"/>
    </row>
    <row r="77">
      <c r="B77" s="110"/>
      <c r="D77" s="110"/>
    </row>
    <row r="78">
      <c r="B78" s="110"/>
      <c r="D78" s="110"/>
    </row>
    <row r="79">
      <c r="B79" s="110"/>
      <c r="D79" s="110"/>
    </row>
    <row r="80">
      <c r="B80" s="110"/>
      <c r="D80" s="110"/>
    </row>
    <row r="81">
      <c r="B81" s="110"/>
      <c r="D81" s="110"/>
    </row>
    <row r="82">
      <c r="B82" s="110"/>
      <c r="D82" s="110"/>
    </row>
    <row r="83">
      <c r="B83" s="110"/>
      <c r="D83" s="110"/>
    </row>
    <row r="84">
      <c r="B84" s="110"/>
      <c r="D84" s="110"/>
    </row>
    <row r="85">
      <c r="B85" s="110"/>
      <c r="D85" s="110"/>
    </row>
    <row r="86">
      <c r="B86" s="110"/>
      <c r="D86" s="110"/>
    </row>
    <row r="87">
      <c r="B87" s="110"/>
      <c r="D87" s="110"/>
    </row>
    <row r="88">
      <c r="B88" s="110"/>
      <c r="D88" s="110"/>
    </row>
    <row r="89">
      <c r="B89" s="110"/>
      <c r="D89" s="110"/>
    </row>
    <row r="90">
      <c r="B90" s="110"/>
      <c r="D90" s="110"/>
    </row>
    <row r="91">
      <c r="B91" s="110"/>
      <c r="D91" s="110"/>
    </row>
    <row r="92">
      <c r="B92" s="110"/>
      <c r="D92" s="110"/>
    </row>
    <row r="93">
      <c r="B93" s="110"/>
      <c r="D93" s="110"/>
    </row>
    <row r="94">
      <c r="B94" s="110"/>
      <c r="D94" s="110"/>
    </row>
    <row r="95">
      <c r="B95" s="110"/>
      <c r="D95" s="110"/>
    </row>
    <row r="96">
      <c r="B96" s="110"/>
      <c r="D96" s="110"/>
    </row>
    <row r="97">
      <c r="B97" s="110"/>
      <c r="D97" s="110"/>
    </row>
    <row r="98">
      <c r="B98" s="110"/>
      <c r="D98" s="110"/>
    </row>
    <row r="99">
      <c r="B99" s="110"/>
      <c r="D99" s="110"/>
    </row>
    <row r="100">
      <c r="B100" s="110"/>
      <c r="D100" s="110"/>
    </row>
    <row r="101">
      <c r="B101" s="110"/>
      <c r="D101" s="110"/>
    </row>
    <row r="102">
      <c r="B102" s="110"/>
      <c r="D102" s="110"/>
    </row>
    <row r="103">
      <c r="B103" s="110"/>
      <c r="D103" s="110"/>
    </row>
    <row r="104">
      <c r="B104" s="110"/>
      <c r="D104" s="110"/>
    </row>
    <row r="105">
      <c r="B105" s="110"/>
      <c r="D105" s="110"/>
    </row>
    <row r="106">
      <c r="B106" s="110"/>
      <c r="D106" s="110"/>
    </row>
    <row r="107">
      <c r="B107" s="110"/>
      <c r="D107" s="110"/>
    </row>
    <row r="108">
      <c r="B108" s="110"/>
      <c r="D108" s="110"/>
    </row>
    <row r="109">
      <c r="B109" s="110"/>
      <c r="D109" s="110"/>
    </row>
    <row r="110">
      <c r="B110" s="110"/>
      <c r="D110" s="110"/>
    </row>
    <row r="111">
      <c r="B111" s="110"/>
      <c r="D111" s="110"/>
    </row>
    <row r="112">
      <c r="B112" s="110"/>
      <c r="D112" s="110"/>
    </row>
    <row r="113">
      <c r="B113" s="110"/>
      <c r="D113" s="110"/>
    </row>
    <row r="114">
      <c r="B114" s="110"/>
      <c r="D114" s="110"/>
    </row>
    <row r="115">
      <c r="B115" s="110"/>
      <c r="D115" s="110"/>
    </row>
    <row r="116">
      <c r="B116" s="110"/>
      <c r="D116" s="110"/>
    </row>
    <row r="117">
      <c r="B117" s="110"/>
      <c r="D117" s="110"/>
    </row>
    <row r="118">
      <c r="B118" s="110"/>
      <c r="D118" s="110"/>
    </row>
    <row r="119">
      <c r="B119" s="110"/>
      <c r="D119" s="110"/>
    </row>
    <row r="120">
      <c r="B120" s="110"/>
      <c r="D120" s="110"/>
    </row>
    <row r="121">
      <c r="B121" s="110"/>
      <c r="D121" s="110"/>
    </row>
    <row r="122">
      <c r="B122" s="110"/>
      <c r="D122" s="110"/>
    </row>
    <row r="123">
      <c r="B123" s="110"/>
      <c r="D123" s="110"/>
    </row>
    <row r="124">
      <c r="B124" s="110"/>
      <c r="D124" s="110"/>
    </row>
    <row r="125">
      <c r="B125" s="110"/>
      <c r="D125" s="110"/>
    </row>
    <row r="126">
      <c r="B126" s="110"/>
      <c r="D126" s="110"/>
    </row>
    <row r="127">
      <c r="B127" s="110"/>
      <c r="D127" s="110"/>
    </row>
    <row r="128">
      <c r="B128" s="110"/>
      <c r="D128" s="110"/>
    </row>
    <row r="129">
      <c r="B129" s="110"/>
      <c r="D129" s="110"/>
    </row>
    <row r="130">
      <c r="B130" s="110"/>
      <c r="D130" s="110"/>
    </row>
    <row r="131">
      <c r="B131" s="110"/>
      <c r="D131" s="110"/>
    </row>
    <row r="132">
      <c r="B132" s="110"/>
      <c r="D132" s="110"/>
    </row>
    <row r="133">
      <c r="B133" s="110"/>
      <c r="D133" s="110"/>
    </row>
    <row r="134">
      <c r="B134" s="110"/>
      <c r="D134" s="110"/>
    </row>
    <row r="135">
      <c r="B135" s="110"/>
      <c r="D135" s="110"/>
    </row>
    <row r="136">
      <c r="B136" s="110"/>
      <c r="D136" s="110"/>
    </row>
    <row r="137">
      <c r="B137" s="110"/>
      <c r="D137" s="110"/>
    </row>
    <row r="138">
      <c r="B138" s="110"/>
      <c r="D138" s="110"/>
    </row>
    <row r="139">
      <c r="B139" s="110"/>
      <c r="D139" s="110"/>
    </row>
    <row r="140">
      <c r="B140" s="110"/>
      <c r="D140" s="110"/>
    </row>
    <row r="141">
      <c r="B141" s="110"/>
      <c r="D141" s="110"/>
    </row>
    <row r="142">
      <c r="B142" s="110"/>
      <c r="D142" s="110"/>
    </row>
    <row r="143">
      <c r="B143" s="110"/>
      <c r="D143" s="110"/>
    </row>
    <row r="144">
      <c r="B144" s="110"/>
      <c r="D144" s="110"/>
    </row>
    <row r="145">
      <c r="B145" s="110"/>
      <c r="D145" s="110"/>
    </row>
    <row r="146">
      <c r="B146" s="110"/>
      <c r="D146" s="110"/>
    </row>
    <row r="147">
      <c r="B147" s="110"/>
      <c r="D147" s="110"/>
    </row>
    <row r="148">
      <c r="B148" s="110"/>
      <c r="D148" s="110"/>
    </row>
    <row r="149">
      <c r="B149" s="110"/>
      <c r="D149" s="110"/>
    </row>
    <row r="150">
      <c r="B150" s="110"/>
      <c r="D150" s="110"/>
    </row>
    <row r="151">
      <c r="B151" s="110"/>
      <c r="D151" s="110"/>
    </row>
    <row r="152">
      <c r="B152" s="110"/>
      <c r="D152" s="110"/>
    </row>
    <row r="153">
      <c r="B153" s="110"/>
      <c r="D153" s="110"/>
    </row>
    <row r="154">
      <c r="B154" s="110"/>
      <c r="D154" s="110"/>
    </row>
    <row r="155">
      <c r="B155" s="110"/>
      <c r="D155" s="110"/>
    </row>
    <row r="156">
      <c r="B156" s="110"/>
      <c r="D156" s="110"/>
    </row>
    <row r="157">
      <c r="B157" s="110"/>
      <c r="D157" s="110"/>
    </row>
    <row r="158">
      <c r="B158" s="110"/>
      <c r="D158" s="110"/>
    </row>
    <row r="159">
      <c r="B159" s="110"/>
      <c r="D159" s="110"/>
    </row>
    <row r="160">
      <c r="B160" s="110"/>
      <c r="D160" s="110"/>
    </row>
    <row r="161">
      <c r="B161" s="110"/>
      <c r="D161" s="110"/>
    </row>
    <row r="162">
      <c r="B162" s="110"/>
      <c r="D162" s="110"/>
    </row>
    <row r="163">
      <c r="B163" s="110"/>
      <c r="D163" s="110"/>
    </row>
    <row r="164">
      <c r="B164" s="110"/>
      <c r="D164" s="110"/>
    </row>
    <row r="165">
      <c r="B165" s="110"/>
      <c r="D165" s="110"/>
    </row>
    <row r="166">
      <c r="B166" s="110"/>
      <c r="D166" s="110"/>
    </row>
    <row r="167">
      <c r="B167" s="110"/>
      <c r="D167" s="110"/>
    </row>
    <row r="168">
      <c r="B168" s="110"/>
      <c r="D168" s="110"/>
    </row>
    <row r="169">
      <c r="B169" s="110"/>
      <c r="D169" s="110"/>
    </row>
    <row r="170">
      <c r="B170" s="110"/>
      <c r="D170" s="110"/>
    </row>
    <row r="171">
      <c r="B171" s="110"/>
      <c r="D171" s="110"/>
    </row>
    <row r="172">
      <c r="B172" s="110"/>
      <c r="D172" s="110"/>
    </row>
    <row r="173">
      <c r="B173" s="110"/>
      <c r="D173" s="110"/>
    </row>
    <row r="174">
      <c r="B174" s="110"/>
      <c r="D174" s="110"/>
    </row>
    <row r="175">
      <c r="B175" s="110"/>
      <c r="D175" s="110"/>
    </row>
    <row r="176">
      <c r="B176" s="110"/>
      <c r="D176" s="110"/>
    </row>
    <row r="177">
      <c r="B177" s="110"/>
      <c r="D177" s="110"/>
    </row>
    <row r="178">
      <c r="B178" s="110"/>
      <c r="D178" s="110"/>
    </row>
    <row r="179">
      <c r="B179" s="110"/>
      <c r="D179" s="110"/>
    </row>
    <row r="180">
      <c r="B180" s="110"/>
      <c r="D180" s="110"/>
    </row>
    <row r="181">
      <c r="B181" s="110"/>
      <c r="D181" s="110"/>
    </row>
    <row r="182">
      <c r="B182" s="110"/>
      <c r="D182" s="110"/>
    </row>
    <row r="183">
      <c r="B183" s="110"/>
      <c r="D183" s="110"/>
    </row>
    <row r="184">
      <c r="B184" s="110"/>
      <c r="D184" s="110"/>
    </row>
    <row r="185">
      <c r="B185" s="110"/>
      <c r="D185" s="110"/>
    </row>
    <row r="186">
      <c r="B186" s="110"/>
      <c r="D186" s="110"/>
    </row>
    <row r="187">
      <c r="B187" s="110"/>
      <c r="D187" s="110"/>
    </row>
    <row r="188">
      <c r="B188" s="110"/>
      <c r="D188" s="110"/>
    </row>
    <row r="189">
      <c r="B189" s="110"/>
      <c r="D189" s="110"/>
    </row>
    <row r="190">
      <c r="B190" s="110"/>
      <c r="D190" s="110"/>
    </row>
    <row r="191">
      <c r="B191" s="110"/>
      <c r="D191" s="110"/>
    </row>
    <row r="192">
      <c r="B192" s="110"/>
      <c r="D192" s="110"/>
    </row>
    <row r="193">
      <c r="B193" s="110"/>
      <c r="D193" s="110"/>
    </row>
    <row r="194">
      <c r="B194" s="110"/>
      <c r="D194" s="110"/>
    </row>
    <row r="195">
      <c r="B195" s="110"/>
      <c r="D195" s="110"/>
    </row>
    <row r="196">
      <c r="B196" s="110"/>
      <c r="D196" s="110"/>
    </row>
    <row r="197">
      <c r="B197" s="110"/>
      <c r="D197" s="110"/>
    </row>
    <row r="198">
      <c r="B198" s="110"/>
      <c r="D198" s="110"/>
    </row>
    <row r="199">
      <c r="B199" s="110"/>
      <c r="D199" s="110"/>
    </row>
    <row r="200">
      <c r="B200" s="110"/>
      <c r="D200" s="110"/>
    </row>
    <row r="201">
      <c r="B201" s="110"/>
      <c r="D201" s="110"/>
    </row>
    <row r="202">
      <c r="B202" s="110"/>
      <c r="D202" s="110"/>
    </row>
    <row r="203">
      <c r="B203" s="110"/>
      <c r="D203" s="110"/>
    </row>
    <row r="204">
      <c r="B204" s="110"/>
      <c r="D204" s="110"/>
    </row>
    <row r="205">
      <c r="B205" s="110"/>
      <c r="D205" s="110"/>
    </row>
    <row r="206">
      <c r="B206" s="110"/>
      <c r="D206" s="110"/>
    </row>
    <row r="207">
      <c r="B207" s="110"/>
      <c r="D207" s="110"/>
    </row>
    <row r="208">
      <c r="B208" s="110"/>
      <c r="D208" s="110"/>
    </row>
    <row r="209">
      <c r="B209" s="110"/>
      <c r="D209" s="110"/>
    </row>
    <row r="210">
      <c r="B210" s="110"/>
      <c r="D210" s="110"/>
    </row>
    <row r="211">
      <c r="B211" s="110"/>
      <c r="D211" s="110"/>
    </row>
    <row r="212">
      <c r="B212" s="110"/>
      <c r="D212" s="110"/>
    </row>
    <row r="213">
      <c r="B213" s="110"/>
      <c r="D213" s="110"/>
    </row>
    <row r="214">
      <c r="B214" s="110"/>
      <c r="D214" s="110"/>
    </row>
    <row r="215">
      <c r="B215" s="110"/>
      <c r="D215" s="110"/>
    </row>
    <row r="216">
      <c r="B216" s="110"/>
      <c r="D216" s="110"/>
    </row>
    <row r="217">
      <c r="B217" s="110"/>
      <c r="D217" s="110"/>
    </row>
    <row r="218">
      <c r="B218" s="110"/>
      <c r="D218" s="110"/>
    </row>
    <row r="219">
      <c r="B219" s="110"/>
      <c r="D219" s="110"/>
    </row>
    <row r="220">
      <c r="B220" s="110"/>
      <c r="D220" s="110"/>
    </row>
    <row r="221">
      <c r="B221" s="110"/>
      <c r="D221" s="110"/>
    </row>
    <row r="222">
      <c r="B222" s="110"/>
      <c r="D222" s="110"/>
    </row>
    <row r="223">
      <c r="B223" s="110"/>
      <c r="D223" s="110"/>
    </row>
    <row r="224">
      <c r="B224" s="110"/>
      <c r="D224" s="110"/>
    </row>
    <row r="225">
      <c r="B225" s="110"/>
      <c r="D225" s="110"/>
    </row>
    <row r="226">
      <c r="B226" s="110"/>
      <c r="D226" s="110"/>
    </row>
    <row r="227">
      <c r="B227" s="110"/>
      <c r="D227" s="110"/>
    </row>
    <row r="228">
      <c r="B228" s="110"/>
      <c r="D228" s="110"/>
    </row>
    <row r="229">
      <c r="B229" s="110"/>
      <c r="D229" s="110"/>
    </row>
    <row r="230">
      <c r="B230" s="110"/>
      <c r="D230" s="110"/>
    </row>
    <row r="231">
      <c r="B231" s="110"/>
      <c r="D231" s="110"/>
    </row>
    <row r="232">
      <c r="B232" s="110"/>
      <c r="D232" s="110"/>
    </row>
    <row r="233">
      <c r="B233" s="110"/>
      <c r="D233" s="110"/>
    </row>
    <row r="234">
      <c r="B234" s="110"/>
      <c r="D234" s="110"/>
    </row>
    <row r="235">
      <c r="B235" s="110"/>
      <c r="D235" s="110"/>
    </row>
    <row r="236">
      <c r="B236" s="110"/>
      <c r="D236" s="110"/>
    </row>
    <row r="237">
      <c r="B237" s="110"/>
      <c r="D237" s="110"/>
    </row>
    <row r="238">
      <c r="B238" s="110"/>
      <c r="D238" s="110"/>
    </row>
    <row r="239">
      <c r="B239" s="110"/>
      <c r="D239" s="110"/>
    </row>
    <row r="240">
      <c r="B240" s="110"/>
      <c r="D240" s="110"/>
    </row>
    <row r="241">
      <c r="B241" s="110"/>
      <c r="D241" s="110"/>
    </row>
    <row r="242">
      <c r="B242" s="110"/>
      <c r="D242" s="110"/>
    </row>
    <row r="243">
      <c r="B243" s="110"/>
      <c r="D243" s="110"/>
    </row>
    <row r="244">
      <c r="B244" s="110"/>
      <c r="D244" s="110"/>
    </row>
    <row r="245">
      <c r="B245" s="110"/>
      <c r="D245" s="110"/>
    </row>
    <row r="246">
      <c r="B246" s="110"/>
      <c r="D246" s="110"/>
    </row>
    <row r="247">
      <c r="B247" s="110"/>
      <c r="D247" s="110"/>
    </row>
    <row r="248">
      <c r="B248" s="110"/>
      <c r="D248" s="110"/>
    </row>
    <row r="249">
      <c r="B249" s="110"/>
      <c r="D249" s="110"/>
    </row>
    <row r="250">
      <c r="B250" s="110"/>
      <c r="D250" s="110"/>
    </row>
    <row r="251">
      <c r="B251" s="110"/>
      <c r="D251" s="110"/>
    </row>
    <row r="252">
      <c r="B252" s="110"/>
      <c r="D252" s="110"/>
    </row>
    <row r="253">
      <c r="B253" s="110"/>
      <c r="D253" s="110"/>
    </row>
    <row r="254">
      <c r="B254" s="110"/>
      <c r="D254" s="110"/>
    </row>
    <row r="255">
      <c r="B255" s="110"/>
      <c r="D255" s="110"/>
    </row>
    <row r="256">
      <c r="B256" s="110"/>
      <c r="D256" s="110"/>
    </row>
    <row r="257">
      <c r="B257" s="110"/>
      <c r="D257" s="110"/>
    </row>
    <row r="258">
      <c r="B258" s="110"/>
      <c r="D258" s="110"/>
    </row>
    <row r="259">
      <c r="B259" s="110"/>
      <c r="D259" s="110"/>
    </row>
    <row r="260">
      <c r="B260" s="110"/>
      <c r="D260" s="110"/>
    </row>
    <row r="261">
      <c r="B261" s="110"/>
      <c r="D261" s="110"/>
    </row>
    <row r="262">
      <c r="B262" s="110"/>
      <c r="D262" s="110"/>
    </row>
    <row r="263">
      <c r="B263" s="110"/>
      <c r="D263" s="110"/>
    </row>
    <row r="264">
      <c r="B264" s="110"/>
      <c r="D264" s="110"/>
    </row>
    <row r="265">
      <c r="B265" s="110"/>
      <c r="D265" s="110"/>
    </row>
    <row r="266">
      <c r="B266" s="110"/>
      <c r="D266" s="110"/>
    </row>
    <row r="267">
      <c r="B267" s="110"/>
      <c r="D267" s="110"/>
    </row>
    <row r="268">
      <c r="B268" s="110"/>
      <c r="D268" s="110"/>
    </row>
    <row r="269">
      <c r="B269" s="110"/>
      <c r="D269" s="110"/>
    </row>
    <row r="270">
      <c r="B270" s="110"/>
      <c r="D270" s="110"/>
    </row>
    <row r="271">
      <c r="B271" s="110"/>
      <c r="D271" s="110"/>
    </row>
    <row r="272">
      <c r="B272" s="110"/>
      <c r="D272" s="110"/>
    </row>
    <row r="273">
      <c r="B273" s="110"/>
      <c r="D273" s="110"/>
    </row>
    <row r="274">
      <c r="B274" s="110"/>
      <c r="D274" s="110"/>
    </row>
    <row r="275">
      <c r="B275" s="110"/>
      <c r="D275" s="110"/>
    </row>
    <row r="276">
      <c r="B276" s="110"/>
      <c r="D276" s="110"/>
    </row>
    <row r="277">
      <c r="B277" s="110"/>
      <c r="D277" s="110"/>
    </row>
    <row r="278">
      <c r="B278" s="110"/>
      <c r="D278" s="110"/>
    </row>
    <row r="279">
      <c r="B279" s="110"/>
      <c r="D279" s="110"/>
    </row>
    <row r="280">
      <c r="B280" s="110"/>
      <c r="D280" s="110"/>
    </row>
    <row r="281">
      <c r="B281" s="110"/>
      <c r="D281" s="110"/>
    </row>
    <row r="282">
      <c r="B282" s="110"/>
      <c r="D282" s="110"/>
    </row>
    <row r="283">
      <c r="B283" s="110"/>
      <c r="D283" s="110"/>
    </row>
    <row r="284">
      <c r="B284" s="110"/>
      <c r="D284" s="110"/>
    </row>
    <row r="285">
      <c r="B285" s="110"/>
      <c r="D285" s="110"/>
    </row>
    <row r="286">
      <c r="B286" s="110"/>
      <c r="D286" s="110"/>
    </row>
    <row r="287">
      <c r="B287" s="110"/>
      <c r="D287" s="110"/>
    </row>
    <row r="288">
      <c r="B288" s="110"/>
      <c r="D288" s="110"/>
    </row>
    <row r="289">
      <c r="B289" s="110"/>
      <c r="D289" s="110"/>
    </row>
    <row r="290">
      <c r="B290" s="110"/>
      <c r="D290" s="110"/>
    </row>
    <row r="291">
      <c r="B291" s="110"/>
      <c r="D291" s="110"/>
    </row>
    <row r="292">
      <c r="B292" s="110"/>
      <c r="D292" s="110"/>
    </row>
    <row r="293">
      <c r="B293" s="110"/>
      <c r="D293" s="110"/>
    </row>
    <row r="294">
      <c r="B294" s="110"/>
      <c r="D294" s="110"/>
    </row>
    <row r="295">
      <c r="B295" s="110"/>
      <c r="D295" s="110"/>
    </row>
    <row r="296">
      <c r="B296" s="110"/>
      <c r="D296" s="110"/>
    </row>
    <row r="297">
      <c r="B297" s="110"/>
      <c r="D297" s="110"/>
    </row>
    <row r="298">
      <c r="B298" s="110"/>
      <c r="D298" s="110"/>
    </row>
    <row r="299">
      <c r="B299" s="110"/>
      <c r="D299" s="110"/>
    </row>
    <row r="300">
      <c r="B300" s="110"/>
      <c r="D300" s="110"/>
    </row>
    <row r="301">
      <c r="B301" s="110"/>
      <c r="D301" s="110"/>
    </row>
    <row r="302">
      <c r="B302" s="110"/>
      <c r="D302" s="110"/>
    </row>
    <row r="303">
      <c r="B303" s="110"/>
      <c r="D303" s="110"/>
    </row>
    <row r="304">
      <c r="B304" s="110"/>
      <c r="D304" s="110"/>
    </row>
    <row r="305">
      <c r="B305" s="110"/>
      <c r="D305" s="110"/>
    </row>
    <row r="306">
      <c r="B306" s="110"/>
      <c r="D306" s="110"/>
    </row>
    <row r="307">
      <c r="B307" s="110"/>
      <c r="D307" s="110"/>
    </row>
    <row r="308">
      <c r="B308" s="110"/>
      <c r="D308" s="110"/>
    </row>
    <row r="309">
      <c r="B309" s="110"/>
      <c r="D309" s="110"/>
    </row>
    <row r="310">
      <c r="B310" s="110"/>
      <c r="D310" s="110"/>
    </row>
    <row r="311">
      <c r="B311" s="110"/>
      <c r="D311" s="110"/>
    </row>
    <row r="312">
      <c r="B312" s="110"/>
      <c r="D312" s="110"/>
    </row>
    <row r="313">
      <c r="B313" s="110"/>
      <c r="D313" s="110"/>
    </row>
    <row r="314">
      <c r="B314" s="110"/>
      <c r="D314" s="110"/>
    </row>
    <row r="315">
      <c r="B315" s="110"/>
      <c r="D315" s="110"/>
    </row>
    <row r="316">
      <c r="B316" s="110"/>
      <c r="D316" s="110"/>
    </row>
    <row r="317">
      <c r="B317" s="110"/>
      <c r="D317" s="110"/>
    </row>
    <row r="318">
      <c r="B318" s="110"/>
      <c r="D318" s="110"/>
    </row>
    <row r="319">
      <c r="B319" s="110"/>
      <c r="D319" s="110"/>
    </row>
    <row r="320">
      <c r="B320" s="110"/>
      <c r="D320" s="110"/>
    </row>
    <row r="321">
      <c r="B321" s="110"/>
      <c r="D321" s="110"/>
    </row>
    <row r="322">
      <c r="B322" s="110"/>
      <c r="D322" s="110"/>
    </row>
    <row r="323">
      <c r="B323" s="110"/>
      <c r="D323" s="110"/>
    </row>
    <row r="324">
      <c r="B324" s="110"/>
      <c r="D324" s="110"/>
    </row>
    <row r="325">
      <c r="B325" s="110"/>
      <c r="D325" s="110"/>
    </row>
    <row r="326">
      <c r="B326" s="110"/>
      <c r="D326" s="110"/>
    </row>
    <row r="327">
      <c r="B327" s="110"/>
      <c r="D327" s="110"/>
    </row>
    <row r="328">
      <c r="B328" s="110"/>
      <c r="D328" s="110"/>
    </row>
    <row r="329">
      <c r="B329" s="110"/>
      <c r="D329" s="110"/>
    </row>
    <row r="330">
      <c r="B330" s="110"/>
      <c r="D330" s="110"/>
    </row>
    <row r="331">
      <c r="B331" s="110"/>
      <c r="D331" s="110"/>
    </row>
    <row r="332">
      <c r="B332" s="110"/>
      <c r="D332" s="110"/>
    </row>
    <row r="333">
      <c r="B333" s="110"/>
      <c r="D333" s="110"/>
    </row>
    <row r="334">
      <c r="B334" s="110"/>
      <c r="D334" s="110"/>
    </row>
    <row r="335">
      <c r="B335" s="110"/>
      <c r="D335" s="110"/>
    </row>
    <row r="336">
      <c r="B336" s="110"/>
      <c r="D336" s="110"/>
    </row>
    <row r="337">
      <c r="B337" s="110"/>
      <c r="D337" s="110"/>
    </row>
    <row r="338">
      <c r="B338" s="110"/>
      <c r="D338" s="110"/>
    </row>
    <row r="339">
      <c r="B339" s="110"/>
      <c r="D339" s="110"/>
    </row>
    <row r="340">
      <c r="B340" s="110"/>
      <c r="D340" s="110"/>
    </row>
    <row r="341">
      <c r="B341" s="110"/>
      <c r="D341" s="110"/>
    </row>
    <row r="342">
      <c r="B342" s="110"/>
      <c r="D342" s="110"/>
    </row>
    <row r="343">
      <c r="B343" s="110"/>
      <c r="D343" s="110"/>
    </row>
    <row r="344">
      <c r="B344" s="110"/>
      <c r="D344" s="110"/>
    </row>
    <row r="345">
      <c r="B345" s="110"/>
      <c r="D345" s="110"/>
    </row>
    <row r="346">
      <c r="B346" s="110"/>
      <c r="D346" s="110"/>
    </row>
    <row r="347">
      <c r="B347" s="110"/>
      <c r="D347" s="110"/>
    </row>
    <row r="348">
      <c r="B348" s="110"/>
      <c r="D348" s="110"/>
    </row>
    <row r="349">
      <c r="B349" s="110"/>
      <c r="D349" s="110"/>
    </row>
    <row r="350">
      <c r="B350" s="110"/>
      <c r="D350" s="110"/>
    </row>
    <row r="351">
      <c r="B351" s="110"/>
      <c r="D351" s="110"/>
    </row>
    <row r="352">
      <c r="B352" s="110"/>
      <c r="D352" s="110"/>
    </row>
    <row r="353">
      <c r="B353" s="110"/>
      <c r="D353" s="110"/>
    </row>
    <row r="354">
      <c r="B354" s="110"/>
      <c r="D354" s="110"/>
    </row>
    <row r="355">
      <c r="B355" s="110"/>
      <c r="D355" s="110"/>
    </row>
    <row r="356">
      <c r="B356" s="110"/>
      <c r="D356" s="110"/>
    </row>
    <row r="357">
      <c r="B357" s="110"/>
      <c r="D357" s="110"/>
    </row>
    <row r="358">
      <c r="B358" s="110"/>
      <c r="D358" s="110"/>
    </row>
    <row r="359">
      <c r="B359" s="110"/>
      <c r="D359" s="110"/>
    </row>
    <row r="360">
      <c r="B360" s="110"/>
      <c r="D360" s="110"/>
    </row>
    <row r="361">
      <c r="B361" s="110"/>
      <c r="D361" s="110"/>
    </row>
    <row r="362">
      <c r="B362" s="110"/>
      <c r="D362" s="110"/>
    </row>
    <row r="363">
      <c r="B363" s="110"/>
      <c r="D363" s="110"/>
    </row>
    <row r="364">
      <c r="B364" s="110"/>
      <c r="D364" s="110"/>
    </row>
    <row r="365">
      <c r="B365" s="110"/>
      <c r="D365" s="110"/>
    </row>
    <row r="366">
      <c r="B366" s="110"/>
      <c r="D366" s="110"/>
    </row>
    <row r="367">
      <c r="B367" s="110"/>
      <c r="D367" s="110"/>
    </row>
    <row r="368">
      <c r="B368" s="110"/>
      <c r="D368" s="110"/>
    </row>
    <row r="369">
      <c r="B369" s="110"/>
      <c r="D369" s="110"/>
    </row>
    <row r="370">
      <c r="B370" s="110"/>
      <c r="D370" s="110"/>
    </row>
    <row r="371">
      <c r="B371" s="110"/>
      <c r="D371" s="110"/>
    </row>
    <row r="372">
      <c r="B372" s="110"/>
      <c r="D372" s="110"/>
    </row>
    <row r="373">
      <c r="B373" s="110"/>
      <c r="D373" s="110"/>
    </row>
    <row r="374">
      <c r="B374" s="110"/>
      <c r="D374" s="110"/>
    </row>
    <row r="375">
      <c r="B375" s="110"/>
      <c r="D375" s="110"/>
    </row>
    <row r="376">
      <c r="B376" s="110"/>
      <c r="D376" s="110"/>
    </row>
    <row r="377">
      <c r="B377" s="110"/>
      <c r="D377" s="110"/>
    </row>
    <row r="378">
      <c r="B378" s="110"/>
      <c r="D378" s="110"/>
    </row>
    <row r="379">
      <c r="B379" s="110"/>
      <c r="D379" s="110"/>
    </row>
    <row r="380">
      <c r="B380" s="110"/>
      <c r="D380" s="110"/>
    </row>
    <row r="381">
      <c r="B381" s="110"/>
      <c r="D381" s="110"/>
    </row>
    <row r="382">
      <c r="B382" s="110"/>
      <c r="D382" s="110"/>
    </row>
    <row r="383">
      <c r="B383" s="110"/>
      <c r="D383" s="110"/>
    </row>
    <row r="384">
      <c r="B384" s="110"/>
      <c r="D384" s="110"/>
    </row>
    <row r="385">
      <c r="B385" s="110"/>
      <c r="D385" s="110"/>
    </row>
    <row r="386">
      <c r="B386" s="110"/>
      <c r="D386" s="110"/>
    </row>
    <row r="387">
      <c r="B387" s="110"/>
      <c r="D387" s="110"/>
    </row>
    <row r="388">
      <c r="B388" s="110"/>
      <c r="D388" s="110"/>
    </row>
    <row r="389">
      <c r="B389" s="110"/>
      <c r="D389" s="110"/>
    </row>
    <row r="390">
      <c r="B390" s="110"/>
      <c r="D390" s="110"/>
    </row>
    <row r="391">
      <c r="B391" s="110"/>
      <c r="D391" s="110"/>
    </row>
    <row r="392">
      <c r="B392" s="110"/>
      <c r="D392" s="110"/>
    </row>
    <row r="393">
      <c r="B393" s="110"/>
      <c r="D393" s="110"/>
    </row>
    <row r="394">
      <c r="B394" s="110"/>
      <c r="D394" s="110"/>
    </row>
    <row r="395">
      <c r="B395" s="110"/>
      <c r="D395" s="110"/>
    </row>
    <row r="396">
      <c r="B396" s="110"/>
      <c r="D396" s="110"/>
    </row>
    <row r="397">
      <c r="B397" s="110"/>
      <c r="D397" s="110"/>
    </row>
    <row r="398">
      <c r="B398" s="110"/>
      <c r="D398" s="110"/>
    </row>
    <row r="399">
      <c r="B399" s="110"/>
      <c r="D399" s="110"/>
    </row>
    <row r="400">
      <c r="B400" s="110"/>
      <c r="D400" s="110"/>
    </row>
    <row r="401">
      <c r="B401" s="110"/>
      <c r="D401" s="110"/>
    </row>
    <row r="402">
      <c r="B402" s="110"/>
      <c r="D402" s="110"/>
    </row>
    <row r="403">
      <c r="B403" s="110"/>
      <c r="D403" s="110"/>
    </row>
    <row r="404">
      <c r="B404" s="110"/>
      <c r="D404" s="110"/>
    </row>
    <row r="405">
      <c r="B405" s="110"/>
      <c r="D405" s="110"/>
    </row>
    <row r="406">
      <c r="B406" s="110"/>
      <c r="D406" s="110"/>
    </row>
    <row r="407">
      <c r="B407" s="110"/>
      <c r="D407" s="110"/>
    </row>
    <row r="408">
      <c r="B408" s="110"/>
      <c r="D408" s="110"/>
    </row>
    <row r="409">
      <c r="B409" s="110"/>
      <c r="D409" s="110"/>
    </row>
    <row r="410">
      <c r="B410" s="110"/>
      <c r="D410" s="110"/>
    </row>
    <row r="411">
      <c r="B411" s="110"/>
      <c r="D411" s="110"/>
    </row>
    <row r="412">
      <c r="B412" s="110"/>
      <c r="D412" s="110"/>
    </row>
    <row r="413">
      <c r="B413" s="110"/>
      <c r="D413" s="110"/>
    </row>
    <row r="414">
      <c r="B414" s="110"/>
      <c r="D414" s="110"/>
    </row>
    <row r="415">
      <c r="B415" s="110"/>
      <c r="D415" s="110"/>
    </row>
    <row r="416">
      <c r="B416" s="110"/>
      <c r="D416" s="110"/>
    </row>
    <row r="417">
      <c r="B417" s="110"/>
      <c r="D417" s="110"/>
    </row>
    <row r="418">
      <c r="B418" s="110"/>
      <c r="D418" s="110"/>
    </row>
    <row r="419">
      <c r="B419" s="110"/>
      <c r="D419" s="110"/>
    </row>
    <row r="420">
      <c r="B420" s="110"/>
      <c r="D420" s="110"/>
    </row>
    <row r="421">
      <c r="B421" s="110"/>
      <c r="D421" s="110"/>
    </row>
    <row r="422">
      <c r="B422" s="110"/>
      <c r="D422" s="110"/>
    </row>
    <row r="423">
      <c r="B423" s="110"/>
      <c r="D423" s="110"/>
    </row>
    <row r="424">
      <c r="B424" s="110"/>
      <c r="D424" s="110"/>
    </row>
    <row r="425">
      <c r="B425" s="110"/>
      <c r="D425" s="110"/>
    </row>
    <row r="426">
      <c r="B426" s="110"/>
      <c r="D426" s="110"/>
    </row>
    <row r="427">
      <c r="B427" s="110"/>
      <c r="D427" s="110"/>
    </row>
    <row r="428">
      <c r="B428" s="110"/>
      <c r="D428" s="110"/>
    </row>
    <row r="429">
      <c r="B429" s="110"/>
      <c r="D429" s="110"/>
    </row>
    <row r="430">
      <c r="B430" s="110"/>
      <c r="D430" s="110"/>
    </row>
    <row r="431">
      <c r="B431" s="110"/>
      <c r="D431" s="110"/>
    </row>
    <row r="432">
      <c r="B432" s="110"/>
      <c r="D432" s="110"/>
    </row>
    <row r="433">
      <c r="B433" s="110"/>
      <c r="D433" s="110"/>
    </row>
    <row r="434">
      <c r="B434" s="110"/>
      <c r="D434" s="110"/>
    </row>
    <row r="435">
      <c r="B435" s="110"/>
      <c r="D435" s="110"/>
    </row>
    <row r="436">
      <c r="B436" s="110"/>
      <c r="D436" s="110"/>
    </row>
    <row r="437">
      <c r="B437" s="110"/>
      <c r="D437" s="110"/>
    </row>
    <row r="438">
      <c r="B438" s="110"/>
      <c r="D438" s="110"/>
    </row>
    <row r="439">
      <c r="B439" s="110"/>
      <c r="D439" s="110"/>
    </row>
    <row r="440">
      <c r="B440" s="110"/>
      <c r="D440" s="110"/>
    </row>
    <row r="441">
      <c r="B441" s="110"/>
      <c r="D441" s="110"/>
    </row>
    <row r="442">
      <c r="B442" s="110"/>
      <c r="D442" s="110"/>
    </row>
    <row r="443">
      <c r="B443" s="110"/>
      <c r="D443" s="110"/>
    </row>
    <row r="444">
      <c r="B444" s="110"/>
      <c r="D444" s="110"/>
    </row>
    <row r="445">
      <c r="B445" s="110"/>
      <c r="D445" s="110"/>
    </row>
    <row r="446">
      <c r="B446" s="110"/>
      <c r="D446" s="110"/>
    </row>
    <row r="447">
      <c r="B447" s="110"/>
      <c r="D447" s="110"/>
    </row>
    <row r="448">
      <c r="B448" s="110"/>
      <c r="D448" s="110"/>
    </row>
    <row r="449">
      <c r="B449" s="110"/>
      <c r="D449" s="110"/>
    </row>
    <row r="450">
      <c r="B450" s="110"/>
      <c r="D450" s="110"/>
    </row>
    <row r="451">
      <c r="B451" s="110"/>
      <c r="D451" s="110"/>
    </row>
    <row r="452">
      <c r="B452" s="110"/>
      <c r="D452" s="110"/>
    </row>
    <row r="453">
      <c r="B453" s="110"/>
      <c r="D453" s="110"/>
    </row>
    <row r="454">
      <c r="B454" s="110"/>
      <c r="D454" s="110"/>
    </row>
    <row r="455">
      <c r="B455" s="110"/>
      <c r="D455" s="110"/>
    </row>
    <row r="456">
      <c r="B456" s="110"/>
      <c r="D456" s="110"/>
    </row>
    <row r="457">
      <c r="B457" s="110"/>
      <c r="D457" s="110"/>
    </row>
    <row r="458">
      <c r="B458" s="110"/>
      <c r="D458" s="110"/>
    </row>
    <row r="459">
      <c r="B459" s="110"/>
      <c r="D459" s="110"/>
    </row>
    <row r="460">
      <c r="B460" s="110"/>
      <c r="D460" s="110"/>
    </row>
    <row r="461">
      <c r="B461" s="110"/>
      <c r="D461" s="110"/>
    </row>
    <row r="462">
      <c r="B462" s="110"/>
      <c r="D462" s="110"/>
    </row>
    <row r="463">
      <c r="B463" s="110"/>
      <c r="D463" s="110"/>
    </row>
    <row r="464">
      <c r="B464" s="110"/>
      <c r="D464" s="110"/>
    </row>
    <row r="465">
      <c r="B465" s="110"/>
      <c r="D465" s="110"/>
    </row>
    <row r="466">
      <c r="B466" s="110"/>
      <c r="D466" s="110"/>
    </row>
    <row r="467">
      <c r="B467" s="110"/>
      <c r="D467" s="110"/>
    </row>
    <row r="468">
      <c r="B468" s="110"/>
      <c r="D468" s="110"/>
    </row>
    <row r="469">
      <c r="B469" s="110"/>
      <c r="D469" s="110"/>
    </row>
    <row r="470">
      <c r="B470" s="110"/>
      <c r="D470" s="110"/>
    </row>
    <row r="471">
      <c r="B471" s="110"/>
      <c r="D471" s="110"/>
    </row>
    <row r="472">
      <c r="B472" s="110"/>
      <c r="D472" s="110"/>
    </row>
    <row r="473">
      <c r="B473" s="110"/>
      <c r="D473" s="110"/>
    </row>
    <row r="474">
      <c r="B474" s="110"/>
      <c r="D474" s="110"/>
    </row>
    <row r="475">
      <c r="B475" s="110"/>
      <c r="D475" s="110"/>
    </row>
    <row r="476">
      <c r="B476" s="110"/>
      <c r="D476" s="110"/>
    </row>
    <row r="477">
      <c r="B477" s="110"/>
      <c r="D477" s="110"/>
    </row>
    <row r="478">
      <c r="B478" s="110"/>
      <c r="D478" s="110"/>
    </row>
    <row r="479">
      <c r="B479" s="110"/>
      <c r="D479" s="110"/>
    </row>
    <row r="480">
      <c r="B480" s="110"/>
      <c r="D480" s="110"/>
    </row>
    <row r="481">
      <c r="B481" s="110"/>
      <c r="D481" s="110"/>
    </row>
    <row r="482">
      <c r="B482" s="110"/>
      <c r="D482" s="110"/>
    </row>
    <row r="483">
      <c r="B483" s="110"/>
      <c r="D483" s="110"/>
    </row>
    <row r="484">
      <c r="B484" s="110"/>
      <c r="D484" s="110"/>
    </row>
    <row r="485">
      <c r="B485" s="110"/>
      <c r="D485" s="110"/>
    </row>
    <row r="486">
      <c r="B486" s="110"/>
      <c r="D486" s="110"/>
    </row>
    <row r="487">
      <c r="B487" s="110"/>
      <c r="D487" s="110"/>
    </row>
    <row r="488">
      <c r="B488" s="110"/>
      <c r="D488" s="110"/>
    </row>
    <row r="489">
      <c r="B489" s="110"/>
      <c r="D489" s="110"/>
    </row>
    <row r="490">
      <c r="B490" s="110"/>
      <c r="D490" s="110"/>
    </row>
    <row r="491">
      <c r="B491" s="110"/>
      <c r="D491" s="110"/>
    </row>
    <row r="492">
      <c r="B492" s="110"/>
      <c r="D492" s="110"/>
    </row>
    <row r="493">
      <c r="B493" s="110"/>
      <c r="D493" s="110"/>
    </row>
    <row r="494">
      <c r="B494" s="110"/>
      <c r="D494" s="110"/>
    </row>
    <row r="495">
      <c r="B495" s="110"/>
      <c r="D495" s="110"/>
    </row>
    <row r="496">
      <c r="B496" s="110"/>
      <c r="D496" s="110"/>
    </row>
    <row r="497">
      <c r="B497" s="110"/>
      <c r="D497" s="110"/>
    </row>
    <row r="498">
      <c r="B498" s="110"/>
      <c r="D498" s="110"/>
    </row>
    <row r="499">
      <c r="B499" s="110"/>
      <c r="D499" s="110"/>
    </row>
    <row r="500">
      <c r="B500" s="110"/>
      <c r="D500" s="110"/>
    </row>
    <row r="501">
      <c r="B501" s="110"/>
      <c r="D501" s="110"/>
    </row>
    <row r="502">
      <c r="B502" s="110"/>
      <c r="D502" s="110"/>
    </row>
    <row r="503">
      <c r="B503" s="110"/>
      <c r="D503" s="110"/>
    </row>
    <row r="504">
      <c r="B504" s="110"/>
      <c r="D504" s="110"/>
    </row>
    <row r="505">
      <c r="B505" s="110"/>
      <c r="D505" s="110"/>
    </row>
    <row r="506">
      <c r="B506" s="110"/>
      <c r="D506" s="110"/>
    </row>
    <row r="507">
      <c r="B507" s="110"/>
      <c r="D507" s="110"/>
    </row>
    <row r="508">
      <c r="B508" s="110"/>
      <c r="D508" s="110"/>
    </row>
    <row r="509">
      <c r="B509" s="110"/>
      <c r="D509" s="110"/>
    </row>
    <row r="510">
      <c r="B510" s="110"/>
      <c r="D510" s="110"/>
    </row>
    <row r="511">
      <c r="B511" s="110"/>
      <c r="D511" s="110"/>
    </row>
    <row r="512">
      <c r="B512" s="110"/>
      <c r="D512" s="110"/>
    </row>
    <row r="513">
      <c r="B513" s="110"/>
      <c r="D513" s="110"/>
    </row>
    <row r="514">
      <c r="B514" s="110"/>
      <c r="D514" s="110"/>
    </row>
    <row r="515">
      <c r="B515" s="110"/>
      <c r="D515" s="110"/>
    </row>
    <row r="516">
      <c r="B516" s="110"/>
      <c r="D516" s="110"/>
    </row>
    <row r="517">
      <c r="B517" s="110"/>
      <c r="D517" s="110"/>
    </row>
    <row r="518">
      <c r="B518" s="110"/>
      <c r="D518" s="110"/>
    </row>
    <row r="519">
      <c r="B519" s="110"/>
      <c r="D519" s="110"/>
    </row>
    <row r="520">
      <c r="B520" s="110"/>
      <c r="D520" s="110"/>
    </row>
    <row r="521">
      <c r="B521" s="110"/>
      <c r="D521" s="110"/>
    </row>
    <row r="522">
      <c r="B522" s="110"/>
      <c r="D522" s="110"/>
    </row>
    <row r="523">
      <c r="B523" s="110"/>
      <c r="D523" s="110"/>
    </row>
    <row r="524">
      <c r="B524" s="110"/>
      <c r="D524" s="110"/>
    </row>
    <row r="525">
      <c r="B525" s="110"/>
      <c r="D525" s="110"/>
    </row>
    <row r="526">
      <c r="B526" s="110"/>
      <c r="D526" s="110"/>
    </row>
    <row r="527">
      <c r="B527" s="110"/>
      <c r="D527" s="110"/>
    </row>
    <row r="528">
      <c r="B528" s="110"/>
      <c r="D528" s="110"/>
    </row>
    <row r="529">
      <c r="B529" s="110"/>
      <c r="D529" s="110"/>
    </row>
    <row r="530">
      <c r="B530" s="110"/>
      <c r="D530" s="110"/>
    </row>
    <row r="531">
      <c r="B531" s="110"/>
      <c r="D531" s="110"/>
    </row>
    <row r="532">
      <c r="B532" s="110"/>
      <c r="D532" s="110"/>
    </row>
    <row r="533">
      <c r="B533" s="110"/>
      <c r="D533" s="110"/>
    </row>
    <row r="534">
      <c r="B534" s="110"/>
      <c r="D534" s="110"/>
    </row>
    <row r="535">
      <c r="B535" s="110"/>
      <c r="D535" s="110"/>
    </row>
    <row r="536">
      <c r="B536" s="110"/>
      <c r="D536" s="110"/>
    </row>
    <row r="537">
      <c r="B537" s="110"/>
      <c r="D537" s="110"/>
    </row>
    <row r="538">
      <c r="B538" s="110"/>
      <c r="D538" s="110"/>
    </row>
    <row r="539">
      <c r="B539" s="110"/>
      <c r="D539" s="110"/>
    </row>
    <row r="540">
      <c r="B540" s="110"/>
      <c r="D540" s="110"/>
    </row>
    <row r="541">
      <c r="B541" s="110"/>
      <c r="D541" s="110"/>
    </row>
    <row r="542">
      <c r="B542" s="110"/>
      <c r="D542" s="110"/>
    </row>
    <row r="543">
      <c r="B543" s="110"/>
      <c r="D543" s="110"/>
    </row>
    <row r="544">
      <c r="B544" s="110"/>
      <c r="D544" s="110"/>
    </row>
    <row r="545">
      <c r="B545" s="110"/>
      <c r="D545" s="110"/>
    </row>
    <row r="546">
      <c r="B546" s="110"/>
      <c r="D546" s="110"/>
    </row>
    <row r="547">
      <c r="B547" s="110"/>
      <c r="D547" s="110"/>
    </row>
    <row r="548">
      <c r="B548" s="110"/>
      <c r="D548" s="110"/>
    </row>
    <row r="549">
      <c r="B549" s="110"/>
      <c r="D549" s="110"/>
    </row>
    <row r="550">
      <c r="B550" s="110"/>
      <c r="D550" s="110"/>
    </row>
    <row r="551">
      <c r="B551" s="110"/>
      <c r="D551" s="110"/>
    </row>
    <row r="552">
      <c r="B552" s="110"/>
      <c r="D552" s="110"/>
    </row>
    <row r="553">
      <c r="B553" s="110"/>
      <c r="D553" s="110"/>
    </row>
    <row r="554">
      <c r="B554" s="110"/>
      <c r="D554" s="110"/>
    </row>
    <row r="555">
      <c r="B555" s="110"/>
      <c r="D555" s="110"/>
    </row>
    <row r="556">
      <c r="B556" s="110"/>
      <c r="D556" s="110"/>
    </row>
    <row r="557">
      <c r="B557" s="110"/>
      <c r="D557" s="110"/>
    </row>
    <row r="558">
      <c r="B558" s="110"/>
      <c r="D558" s="110"/>
    </row>
    <row r="559">
      <c r="B559" s="110"/>
      <c r="D559" s="110"/>
    </row>
    <row r="560">
      <c r="B560" s="110"/>
      <c r="D560" s="110"/>
    </row>
    <row r="561">
      <c r="B561" s="110"/>
      <c r="D561" s="110"/>
    </row>
    <row r="562">
      <c r="B562" s="110"/>
      <c r="D562" s="110"/>
    </row>
    <row r="563">
      <c r="B563" s="110"/>
      <c r="D563" s="110"/>
    </row>
    <row r="564">
      <c r="B564" s="110"/>
      <c r="D564" s="110"/>
    </row>
    <row r="565">
      <c r="B565" s="110"/>
      <c r="D565" s="110"/>
    </row>
    <row r="566">
      <c r="B566" s="110"/>
      <c r="D566" s="110"/>
    </row>
    <row r="567">
      <c r="B567" s="110"/>
      <c r="D567" s="110"/>
    </row>
    <row r="568">
      <c r="B568" s="110"/>
      <c r="D568" s="110"/>
    </row>
    <row r="569">
      <c r="B569" s="110"/>
      <c r="D569" s="110"/>
    </row>
    <row r="570">
      <c r="B570" s="110"/>
      <c r="D570" s="110"/>
    </row>
    <row r="571">
      <c r="B571" s="110"/>
      <c r="D571" s="110"/>
    </row>
    <row r="572">
      <c r="B572" s="110"/>
      <c r="D572" s="110"/>
    </row>
    <row r="573">
      <c r="B573" s="110"/>
      <c r="D573" s="110"/>
    </row>
    <row r="574">
      <c r="B574" s="110"/>
      <c r="D574" s="110"/>
    </row>
    <row r="575">
      <c r="B575" s="110"/>
      <c r="D575" s="110"/>
    </row>
    <row r="576">
      <c r="B576" s="110"/>
      <c r="D576" s="110"/>
    </row>
    <row r="577">
      <c r="B577" s="110"/>
      <c r="D577" s="110"/>
    </row>
    <row r="578">
      <c r="B578" s="110"/>
      <c r="D578" s="110"/>
    </row>
    <row r="579">
      <c r="B579" s="110"/>
      <c r="D579" s="110"/>
    </row>
    <row r="580">
      <c r="B580" s="110"/>
      <c r="D580" s="110"/>
    </row>
    <row r="581">
      <c r="B581" s="110"/>
      <c r="D581" s="110"/>
    </row>
    <row r="582">
      <c r="B582" s="110"/>
      <c r="D582" s="110"/>
    </row>
    <row r="583">
      <c r="B583" s="110"/>
      <c r="D583" s="110"/>
    </row>
    <row r="584">
      <c r="B584" s="110"/>
      <c r="D584" s="110"/>
    </row>
    <row r="585">
      <c r="B585" s="110"/>
      <c r="D585" s="110"/>
    </row>
    <row r="586">
      <c r="B586" s="110"/>
      <c r="D586" s="110"/>
    </row>
    <row r="587">
      <c r="B587" s="110"/>
      <c r="D587" s="110"/>
    </row>
    <row r="588">
      <c r="B588" s="110"/>
      <c r="D588" s="110"/>
    </row>
    <row r="589">
      <c r="B589" s="110"/>
      <c r="D589" s="110"/>
    </row>
    <row r="590">
      <c r="B590" s="110"/>
      <c r="D590" s="110"/>
    </row>
    <row r="591">
      <c r="B591" s="110"/>
      <c r="D591" s="110"/>
    </row>
    <row r="592">
      <c r="B592" s="110"/>
      <c r="D592" s="110"/>
    </row>
    <row r="593">
      <c r="B593" s="110"/>
      <c r="D593" s="110"/>
    </row>
    <row r="594">
      <c r="B594" s="110"/>
      <c r="D594" s="110"/>
    </row>
    <row r="595">
      <c r="B595" s="110"/>
      <c r="D595" s="110"/>
    </row>
    <row r="596">
      <c r="B596" s="110"/>
      <c r="D596" s="110"/>
    </row>
    <row r="597">
      <c r="B597" s="110"/>
      <c r="D597" s="110"/>
    </row>
    <row r="598">
      <c r="B598" s="110"/>
      <c r="D598" s="110"/>
    </row>
    <row r="599">
      <c r="B599" s="110"/>
      <c r="D599" s="110"/>
    </row>
    <row r="600">
      <c r="B600" s="110"/>
      <c r="D600" s="110"/>
    </row>
    <row r="601">
      <c r="B601" s="110"/>
      <c r="D601" s="110"/>
    </row>
    <row r="602">
      <c r="B602" s="110"/>
      <c r="D602" s="110"/>
    </row>
    <row r="603">
      <c r="B603" s="110"/>
      <c r="D603" s="110"/>
    </row>
    <row r="604">
      <c r="B604" s="110"/>
      <c r="D604" s="110"/>
    </row>
    <row r="605">
      <c r="B605" s="110"/>
      <c r="D605" s="110"/>
    </row>
    <row r="606">
      <c r="B606" s="110"/>
      <c r="D606" s="110"/>
    </row>
    <row r="607">
      <c r="B607" s="110"/>
      <c r="D607" s="110"/>
    </row>
    <row r="608">
      <c r="B608" s="110"/>
      <c r="D608" s="110"/>
    </row>
    <row r="609">
      <c r="B609" s="110"/>
      <c r="D609" s="110"/>
    </row>
    <row r="610">
      <c r="B610" s="110"/>
      <c r="D610" s="110"/>
    </row>
    <row r="611">
      <c r="B611" s="110"/>
      <c r="D611" s="110"/>
    </row>
    <row r="612">
      <c r="B612" s="110"/>
      <c r="D612" s="110"/>
    </row>
    <row r="613">
      <c r="B613" s="110"/>
      <c r="D613" s="110"/>
    </row>
    <row r="614">
      <c r="B614" s="110"/>
      <c r="D614" s="110"/>
    </row>
    <row r="615">
      <c r="B615" s="110"/>
      <c r="D615" s="110"/>
    </row>
    <row r="616">
      <c r="B616" s="110"/>
      <c r="D616" s="110"/>
    </row>
    <row r="617">
      <c r="B617" s="110"/>
      <c r="D617" s="110"/>
    </row>
    <row r="618">
      <c r="B618" s="110"/>
      <c r="D618" s="110"/>
    </row>
    <row r="619">
      <c r="B619" s="110"/>
      <c r="D619" s="110"/>
    </row>
    <row r="620">
      <c r="B620" s="110"/>
      <c r="D620" s="110"/>
    </row>
    <row r="621">
      <c r="B621" s="110"/>
      <c r="D621" s="110"/>
    </row>
    <row r="622">
      <c r="B622" s="110"/>
      <c r="D622" s="110"/>
    </row>
    <row r="623">
      <c r="B623" s="110"/>
      <c r="D623" s="110"/>
    </row>
    <row r="624">
      <c r="B624" s="110"/>
      <c r="D624" s="110"/>
    </row>
    <row r="625">
      <c r="B625" s="110"/>
      <c r="D625" s="110"/>
    </row>
    <row r="626">
      <c r="B626" s="110"/>
      <c r="D626" s="110"/>
    </row>
    <row r="627">
      <c r="B627" s="110"/>
      <c r="D627" s="110"/>
    </row>
    <row r="628">
      <c r="B628" s="110"/>
      <c r="D628" s="110"/>
    </row>
    <row r="629">
      <c r="B629" s="110"/>
      <c r="D629" s="110"/>
    </row>
    <row r="630">
      <c r="B630" s="110"/>
      <c r="D630" s="110"/>
    </row>
    <row r="631">
      <c r="B631" s="110"/>
      <c r="D631" s="110"/>
    </row>
    <row r="632">
      <c r="B632" s="110"/>
      <c r="D632" s="110"/>
    </row>
    <row r="633">
      <c r="B633" s="110"/>
      <c r="D633" s="110"/>
    </row>
    <row r="634">
      <c r="B634" s="110"/>
      <c r="D634" s="110"/>
    </row>
    <row r="635">
      <c r="B635" s="110"/>
      <c r="D635" s="110"/>
    </row>
    <row r="636">
      <c r="B636" s="110"/>
      <c r="D636" s="110"/>
    </row>
    <row r="637">
      <c r="B637" s="110"/>
      <c r="D637" s="110"/>
    </row>
    <row r="638">
      <c r="B638" s="110"/>
      <c r="D638" s="110"/>
    </row>
    <row r="639">
      <c r="B639" s="110"/>
      <c r="D639" s="110"/>
    </row>
    <row r="640">
      <c r="B640" s="110"/>
      <c r="D640" s="110"/>
    </row>
    <row r="641">
      <c r="B641" s="110"/>
      <c r="D641" s="110"/>
    </row>
    <row r="642">
      <c r="B642" s="110"/>
      <c r="D642" s="110"/>
    </row>
    <row r="643">
      <c r="B643" s="110"/>
      <c r="D643" s="110"/>
    </row>
    <row r="644">
      <c r="B644" s="110"/>
      <c r="D644" s="110"/>
    </row>
    <row r="645">
      <c r="B645" s="110"/>
      <c r="D645" s="110"/>
    </row>
    <row r="646">
      <c r="B646" s="110"/>
      <c r="D646" s="110"/>
    </row>
    <row r="647">
      <c r="B647" s="110"/>
      <c r="D647" s="110"/>
    </row>
    <row r="648">
      <c r="B648" s="110"/>
      <c r="D648" s="110"/>
    </row>
    <row r="649">
      <c r="B649" s="110"/>
      <c r="D649" s="110"/>
    </row>
    <row r="650">
      <c r="B650" s="110"/>
      <c r="D650" s="110"/>
    </row>
    <row r="651">
      <c r="B651" s="110"/>
      <c r="D651" s="110"/>
    </row>
    <row r="652">
      <c r="B652" s="110"/>
      <c r="D652" s="110"/>
    </row>
    <row r="653">
      <c r="B653" s="110"/>
      <c r="D653" s="110"/>
    </row>
    <row r="654">
      <c r="B654" s="110"/>
      <c r="D654" s="110"/>
    </row>
    <row r="655">
      <c r="B655" s="110"/>
      <c r="D655" s="110"/>
    </row>
    <row r="656">
      <c r="B656" s="110"/>
      <c r="D656" s="110"/>
    </row>
    <row r="657">
      <c r="B657" s="110"/>
      <c r="D657" s="110"/>
    </row>
    <row r="658">
      <c r="B658" s="110"/>
      <c r="D658" s="110"/>
    </row>
    <row r="659">
      <c r="B659" s="110"/>
      <c r="D659" s="110"/>
    </row>
    <row r="660">
      <c r="B660" s="110"/>
      <c r="D660" s="110"/>
    </row>
    <row r="661">
      <c r="B661" s="110"/>
      <c r="D661" s="110"/>
    </row>
    <row r="662">
      <c r="B662" s="110"/>
      <c r="D662" s="110"/>
    </row>
    <row r="663">
      <c r="B663" s="110"/>
      <c r="D663" s="110"/>
    </row>
    <row r="664">
      <c r="B664" s="110"/>
      <c r="D664" s="110"/>
    </row>
    <row r="665">
      <c r="B665" s="110"/>
      <c r="D665" s="110"/>
    </row>
    <row r="666">
      <c r="B666" s="110"/>
      <c r="D666" s="110"/>
    </row>
    <row r="667">
      <c r="B667" s="110"/>
      <c r="D667" s="110"/>
    </row>
    <row r="668">
      <c r="B668" s="110"/>
      <c r="D668" s="110"/>
    </row>
    <row r="669">
      <c r="B669" s="110"/>
      <c r="D669" s="110"/>
    </row>
    <row r="670">
      <c r="B670" s="110"/>
      <c r="D670" s="110"/>
    </row>
    <row r="671">
      <c r="B671" s="110"/>
      <c r="D671" s="110"/>
    </row>
    <row r="672">
      <c r="B672" s="110"/>
      <c r="D672" s="110"/>
    </row>
    <row r="673">
      <c r="B673" s="110"/>
      <c r="D673" s="110"/>
    </row>
    <row r="674">
      <c r="B674" s="110"/>
      <c r="D674" s="110"/>
    </row>
    <row r="675">
      <c r="B675" s="110"/>
      <c r="D675" s="110"/>
    </row>
    <row r="676">
      <c r="B676" s="110"/>
      <c r="D676" s="110"/>
    </row>
    <row r="677">
      <c r="B677" s="110"/>
      <c r="D677" s="110"/>
    </row>
    <row r="678">
      <c r="B678" s="110"/>
      <c r="D678" s="110"/>
    </row>
    <row r="679">
      <c r="B679" s="110"/>
      <c r="D679" s="110"/>
    </row>
    <row r="680">
      <c r="B680" s="110"/>
      <c r="D680" s="110"/>
    </row>
    <row r="681">
      <c r="B681" s="110"/>
      <c r="D681" s="110"/>
    </row>
    <row r="682">
      <c r="B682" s="110"/>
      <c r="D682" s="110"/>
    </row>
    <row r="683">
      <c r="B683" s="110"/>
      <c r="D683" s="110"/>
    </row>
    <row r="684">
      <c r="B684" s="110"/>
      <c r="D684" s="110"/>
    </row>
    <row r="685">
      <c r="B685" s="110"/>
      <c r="D685" s="110"/>
    </row>
    <row r="686">
      <c r="B686" s="110"/>
      <c r="D686" s="110"/>
    </row>
    <row r="687">
      <c r="B687" s="110"/>
      <c r="D687" s="110"/>
    </row>
    <row r="688">
      <c r="B688" s="110"/>
      <c r="D688" s="110"/>
    </row>
    <row r="689">
      <c r="B689" s="110"/>
      <c r="D689" s="110"/>
    </row>
    <row r="690">
      <c r="B690" s="110"/>
      <c r="D690" s="110"/>
    </row>
    <row r="691">
      <c r="B691" s="110"/>
      <c r="D691" s="110"/>
    </row>
    <row r="692">
      <c r="B692" s="110"/>
      <c r="D692" s="110"/>
    </row>
    <row r="693">
      <c r="B693" s="110"/>
      <c r="D693" s="110"/>
    </row>
    <row r="694">
      <c r="B694" s="110"/>
      <c r="D694" s="110"/>
    </row>
    <row r="695">
      <c r="B695" s="110"/>
      <c r="D695" s="110"/>
    </row>
    <row r="696">
      <c r="B696" s="110"/>
      <c r="D696" s="110"/>
    </row>
    <row r="697">
      <c r="B697" s="110"/>
      <c r="D697" s="110"/>
    </row>
    <row r="698">
      <c r="B698" s="110"/>
      <c r="D698" s="110"/>
    </row>
    <row r="699">
      <c r="B699" s="110"/>
      <c r="D699" s="110"/>
    </row>
    <row r="700">
      <c r="B700" s="110"/>
      <c r="D700" s="110"/>
    </row>
    <row r="701">
      <c r="B701" s="110"/>
      <c r="D701" s="110"/>
    </row>
    <row r="702">
      <c r="B702" s="110"/>
      <c r="D702" s="110"/>
    </row>
    <row r="703">
      <c r="B703" s="110"/>
      <c r="D703" s="110"/>
    </row>
    <row r="704">
      <c r="B704" s="110"/>
      <c r="D704" s="110"/>
    </row>
    <row r="705">
      <c r="B705" s="110"/>
      <c r="D705" s="110"/>
    </row>
    <row r="706">
      <c r="B706" s="110"/>
      <c r="D706" s="110"/>
    </row>
    <row r="707">
      <c r="B707" s="110"/>
      <c r="D707" s="110"/>
    </row>
    <row r="708">
      <c r="B708" s="110"/>
      <c r="D708" s="110"/>
    </row>
    <row r="709">
      <c r="B709" s="110"/>
      <c r="D709" s="110"/>
    </row>
    <row r="710">
      <c r="B710" s="110"/>
      <c r="D710" s="110"/>
    </row>
    <row r="711">
      <c r="B711" s="110"/>
      <c r="D711" s="110"/>
    </row>
    <row r="712">
      <c r="B712" s="110"/>
      <c r="D712" s="110"/>
    </row>
    <row r="713">
      <c r="B713" s="110"/>
      <c r="D713" s="110"/>
    </row>
    <row r="714">
      <c r="B714" s="110"/>
      <c r="D714" s="110"/>
    </row>
    <row r="715">
      <c r="B715" s="110"/>
      <c r="D715" s="110"/>
    </row>
    <row r="716">
      <c r="B716" s="110"/>
      <c r="D716" s="110"/>
    </row>
    <row r="717">
      <c r="B717" s="110"/>
      <c r="D717" s="110"/>
    </row>
    <row r="718">
      <c r="B718" s="110"/>
      <c r="D718" s="110"/>
    </row>
    <row r="719">
      <c r="B719" s="110"/>
      <c r="D719" s="110"/>
    </row>
    <row r="720">
      <c r="B720" s="110"/>
      <c r="D720" s="110"/>
    </row>
    <row r="721">
      <c r="B721" s="110"/>
      <c r="D721" s="110"/>
    </row>
    <row r="722">
      <c r="B722" s="110"/>
      <c r="D722" s="110"/>
    </row>
    <row r="723">
      <c r="B723" s="110"/>
      <c r="D723" s="110"/>
    </row>
    <row r="724">
      <c r="B724" s="110"/>
      <c r="D724" s="110"/>
    </row>
    <row r="725">
      <c r="B725" s="110"/>
      <c r="D725" s="110"/>
    </row>
    <row r="726">
      <c r="B726" s="110"/>
      <c r="D726" s="110"/>
    </row>
    <row r="727">
      <c r="B727" s="110"/>
      <c r="D727" s="110"/>
    </row>
    <row r="728">
      <c r="B728" s="110"/>
      <c r="D728" s="110"/>
    </row>
    <row r="729">
      <c r="B729" s="110"/>
      <c r="D729" s="110"/>
    </row>
    <row r="730">
      <c r="B730" s="110"/>
      <c r="D730" s="110"/>
    </row>
    <row r="731">
      <c r="B731" s="110"/>
      <c r="D731" s="110"/>
    </row>
    <row r="732">
      <c r="B732" s="110"/>
      <c r="D732" s="110"/>
    </row>
    <row r="733">
      <c r="B733" s="110"/>
      <c r="D733" s="110"/>
    </row>
    <row r="734">
      <c r="B734" s="110"/>
      <c r="D734" s="110"/>
    </row>
    <row r="735">
      <c r="B735" s="110"/>
      <c r="D735" s="110"/>
    </row>
    <row r="736">
      <c r="B736" s="110"/>
      <c r="D736" s="110"/>
    </row>
    <row r="737">
      <c r="B737" s="110"/>
      <c r="D737" s="110"/>
    </row>
    <row r="738">
      <c r="B738" s="110"/>
      <c r="D738" s="110"/>
    </row>
    <row r="739">
      <c r="B739" s="110"/>
      <c r="D739" s="110"/>
    </row>
    <row r="740">
      <c r="B740" s="110"/>
      <c r="D740" s="110"/>
    </row>
    <row r="741">
      <c r="B741" s="110"/>
      <c r="D741" s="110"/>
    </row>
    <row r="742">
      <c r="B742" s="110"/>
      <c r="D742" s="110"/>
    </row>
    <row r="743">
      <c r="B743" s="110"/>
      <c r="D743" s="110"/>
    </row>
    <row r="744">
      <c r="B744" s="110"/>
      <c r="D744" s="110"/>
    </row>
    <row r="745">
      <c r="B745" s="110"/>
      <c r="D745" s="110"/>
    </row>
    <row r="746">
      <c r="B746" s="110"/>
      <c r="D746" s="110"/>
    </row>
    <row r="747">
      <c r="B747" s="110"/>
      <c r="D747" s="110"/>
    </row>
    <row r="748">
      <c r="B748" s="110"/>
      <c r="D748" s="110"/>
    </row>
    <row r="749">
      <c r="B749" s="110"/>
      <c r="D749" s="110"/>
    </row>
    <row r="750">
      <c r="B750" s="110"/>
      <c r="D750" s="110"/>
    </row>
    <row r="751">
      <c r="B751" s="110"/>
      <c r="D751" s="110"/>
    </row>
    <row r="752">
      <c r="B752" s="110"/>
      <c r="D752" s="110"/>
    </row>
    <row r="753">
      <c r="B753" s="110"/>
      <c r="D753" s="110"/>
    </row>
    <row r="754">
      <c r="B754" s="110"/>
      <c r="D754" s="110"/>
    </row>
    <row r="755">
      <c r="B755" s="110"/>
      <c r="D755" s="110"/>
    </row>
    <row r="756">
      <c r="B756" s="110"/>
      <c r="D756" s="110"/>
    </row>
    <row r="757">
      <c r="B757" s="110"/>
      <c r="D757" s="110"/>
    </row>
    <row r="758">
      <c r="B758" s="110"/>
      <c r="D758" s="110"/>
    </row>
    <row r="759">
      <c r="B759" s="110"/>
      <c r="D759" s="110"/>
    </row>
    <row r="760">
      <c r="B760" s="110"/>
      <c r="D760" s="110"/>
    </row>
    <row r="761">
      <c r="B761" s="110"/>
      <c r="D761" s="110"/>
    </row>
    <row r="762">
      <c r="B762" s="110"/>
      <c r="D762" s="110"/>
    </row>
    <row r="763">
      <c r="B763" s="110"/>
      <c r="D763" s="110"/>
    </row>
    <row r="764">
      <c r="B764" s="110"/>
      <c r="D764" s="110"/>
    </row>
    <row r="765">
      <c r="B765" s="110"/>
      <c r="D765" s="110"/>
    </row>
    <row r="766">
      <c r="B766" s="110"/>
      <c r="D766" s="110"/>
    </row>
    <row r="767">
      <c r="B767" s="110"/>
      <c r="D767" s="110"/>
    </row>
    <row r="768">
      <c r="B768" s="110"/>
      <c r="D768" s="110"/>
    </row>
    <row r="769">
      <c r="B769" s="110"/>
      <c r="D769" s="110"/>
    </row>
    <row r="770">
      <c r="B770" s="110"/>
      <c r="D770" s="110"/>
    </row>
    <row r="771">
      <c r="B771" s="110"/>
      <c r="D771" s="110"/>
    </row>
    <row r="772">
      <c r="B772" s="110"/>
      <c r="D772" s="110"/>
    </row>
    <row r="773">
      <c r="B773" s="110"/>
      <c r="D773" s="110"/>
    </row>
    <row r="774">
      <c r="B774" s="110"/>
      <c r="D774" s="110"/>
    </row>
    <row r="775">
      <c r="B775" s="110"/>
      <c r="D775" s="110"/>
    </row>
    <row r="776">
      <c r="B776" s="110"/>
      <c r="D776" s="110"/>
    </row>
    <row r="777">
      <c r="B777" s="110"/>
      <c r="D777" s="110"/>
    </row>
    <row r="778">
      <c r="B778" s="110"/>
      <c r="D778" s="110"/>
    </row>
    <row r="779">
      <c r="B779" s="110"/>
      <c r="D779" s="110"/>
    </row>
    <row r="780">
      <c r="B780" s="110"/>
      <c r="D780" s="110"/>
    </row>
    <row r="781">
      <c r="B781" s="110"/>
      <c r="D781" s="110"/>
    </row>
    <row r="782">
      <c r="B782" s="110"/>
      <c r="D782" s="110"/>
    </row>
    <row r="783">
      <c r="B783" s="110"/>
      <c r="D783" s="110"/>
    </row>
    <row r="784">
      <c r="B784" s="110"/>
      <c r="D784" s="110"/>
    </row>
    <row r="785">
      <c r="B785" s="110"/>
      <c r="D785" s="110"/>
    </row>
    <row r="786">
      <c r="B786" s="110"/>
      <c r="D786" s="110"/>
    </row>
    <row r="787">
      <c r="B787" s="110"/>
      <c r="D787" s="110"/>
    </row>
    <row r="788">
      <c r="B788" s="110"/>
      <c r="D788" s="110"/>
    </row>
    <row r="789">
      <c r="B789" s="110"/>
      <c r="D789" s="110"/>
    </row>
    <row r="790">
      <c r="B790" s="110"/>
      <c r="D790" s="110"/>
    </row>
    <row r="791">
      <c r="B791" s="110"/>
      <c r="D791" s="110"/>
    </row>
    <row r="792">
      <c r="B792" s="110"/>
      <c r="D792" s="110"/>
    </row>
    <row r="793">
      <c r="B793" s="110"/>
      <c r="D793" s="110"/>
    </row>
    <row r="794">
      <c r="B794" s="110"/>
      <c r="D794" s="110"/>
    </row>
    <row r="795">
      <c r="B795" s="110"/>
      <c r="D795" s="110"/>
    </row>
    <row r="796">
      <c r="B796" s="110"/>
      <c r="D796" s="110"/>
    </row>
    <row r="797">
      <c r="B797" s="110"/>
      <c r="D797" s="110"/>
    </row>
    <row r="798">
      <c r="B798" s="110"/>
      <c r="D798" s="110"/>
    </row>
    <row r="799">
      <c r="B799" s="110"/>
      <c r="D799" s="110"/>
    </row>
    <row r="800">
      <c r="B800" s="110"/>
      <c r="D800" s="110"/>
    </row>
    <row r="801">
      <c r="B801" s="110"/>
      <c r="D801" s="110"/>
    </row>
    <row r="802">
      <c r="B802" s="110"/>
      <c r="D802" s="110"/>
    </row>
    <row r="803">
      <c r="B803" s="110"/>
      <c r="D803" s="110"/>
    </row>
    <row r="804">
      <c r="B804" s="110"/>
      <c r="D804" s="110"/>
    </row>
    <row r="805">
      <c r="B805" s="110"/>
      <c r="D805" s="110"/>
    </row>
    <row r="806">
      <c r="B806" s="110"/>
      <c r="D806" s="110"/>
    </row>
    <row r="807">
      <c r="B807" s="110"/>
      <c r="D807" s="110"/>
    </row>
    <row r="808">
      <c r="B808" s="110"/>
      <c r="D808" s="110"/>
    </row>
    <row r="809">
      <c r="B809" s="110"/>
      <c r="D809" s="110"/>
    </row>
    <row r="810">
      <c r="B810" s="110"/>
      <c r="D810" s="110"/>
    </row>
    <row r="811">
      <c r="B811" s="110"/>
      <c r="D811" s="110"/>
    </row>
    <row r="812">
      <c r="B812" s="110"/>
      <c r="D812" s="110"/>
    </row>
    <row r="813">
      <c r="B813" s="110"/>
      <c r="D813" s="110"/>
    </row>
    <row r="814">
      <c r="B814" s="110"/>
      <c r="D814" s="110"/>
    </row>
    <row r="815">
      <c r="B815" s="110"/>
      <c r="D815" s="110"/>
    </row>
    <row r="816">
      <c r="B816" s="110"/>
      <c r="D816" s="110"/>
    </row>
    <row r="817">
      <c r="B817" s="110"/>
      <c r="D817" s="110"/>
    </row>
    <row r="818">
      <c r="B818" s="110"/>
      <c r="D818" s="110"/>
    </row>
    <row r="819">
      <c r="B819" s="110"/>
      <c r="D819" s="110"/>
    </row>
    <row r="820">
      <c r="B820" s="110"/>
      <c r="D820" s="110"/>
    </row>
    <row r="821">
      <c r="B821" s="110"/>
      <c r="D821" s="110"/>
    </row>
    <row r="822">
      <c r="B822" s="110"/>
      <c r="D822" s="110"/>
    </row>
    <row r="823">
      <c r="B823" s="110"/>
      <c r="D823" s="110"/>
    </row>
    <row r="824">
      <c r="B824" s="110"/>
      <c r="D824" s="110"/>
    </row>
    <row r="825">
      <c r="B825" s="110"/>
      <c r="D825" s="110"/>
    </row>
    <row r="826">
      <c r="B826" s="110"/>
      <c r="D826" s="110"/>
    </row>
    <row r="827">
      <c r="B827" s="110"/>
      <c r="D827" s="110"/>
    </row>
    <row r="828">
      <c r="B828" s="110"/>
      <c r="D828" s="110"/>
    </row>
    <row r="829">
      <c r="B829" s="110"/>
      <c r="D829" s="110"/>
    </row>
    <row r="830">
      <c r="B830" s="110"/>
      <c r="D830" s="110"/>
    </row>
    <row r="831">
      <c r="B831" s="110"/>
      <c r="D831" s="110"/>
    </row>
    <row r="832">
      <c r="B832" s="110"/>
      <c r="D832" s="110"/>
    </row>
    <row r="833">
      <c r="B833" s="110"/>
      <c r="D833" s="110"/>
    </row>
    <row r="834">
      <c r="B834" s="110"/>
      <c r="D834" s="110"/>
    </row>
    <row r="835">
      <c r="B835" s="110"/>
      <c r="D835" s="110"/>
    </row>
    <row r="836">
      <c r="B836" s="110"/>
      <c r="D836" s="110"/>
    </row>
    <row r="837">
      <c r="B837" s="110"/>
      <c r="D837" s="110"/>
    </row>
    <row r="838">
      <c r="B838" s="110"/>
      <c r="D838" s="110"/>
    </row>
    <row r="839">
      <c r="B839" s="110"/>
      <c r="D839" s="110"/>
    </row>
    <row r="840">
      <c r="B840" s="110"/>
      <c r="D840" s="110"/>
    </row>
    <row r="841">
      <c r="B841" s="110"/>
      <c r="D841" s="110"/>
    </row>
    <row r="842">
      <c r="B842" s="110"/>
      <c r="D842" s="110"/>
    </row>
    <row r="843">
      <c r="B843" s="110"/>
      <c r="D843" s="110"/>
    </row>
    <row r="844">
      <c r="B844" s="110"/>
      <c r="D844" s="110"/>
    </row>
    <row r="845">
      <c r="B845" s="110"/>
      <c r="D845" s="110"/>
    </row>
    <row r="846">
      <c r="B846" s="110"/>
      <c r="D846" s="110"/>
    </row>
    <row r="847">
      <c r="B847" s="110"/>
      <c r="D847" s="110"/>
    </row>
    <row r="848">
      <c r="B848" s="110"/>
      <c r="D848" s="110"/>
    </row>
    <row r="849">
      <c r="B849" s="110"/>
      <c r="D849" s="110"/>
    </row>
    <row r="850">
      <c r="B850" s="110"/>
      <c r="D850" s="110"/>
    </row>
    <row r="851">
      <c r="B851" s="110"/>
      <c r="D851" s="110"/>
    </row>
    <row r="852">
      <c r="B852" s="110"/>
      <c r="D852" s="110"/>
    </row>
    <row r="853">
      <c r="B853" s="110"/>
      <c r="D853" s="110"/>
    </row>
    <row r="854">
      <c r="B854" s="110"/>
      <c r="D854" s="110"/>
    </row>
    <row r="855">
      <c r="B855" s="110"/>
      <c r="D855" s="110"/>
    </row>
    <row r="856">
      <c r="B856" s="110"/>
      <c r="D856" s="110"/>
    </row>
    <row r="857">
      <c r="B857" s="110"/>
      <c r="D857" s="110"/>
    </row>
    <row r="858">
      <c r="B858" s="110"/>
      <c r="D858" s="110"/>
    </row>
    <row r="859">
      <c r="B859" s="110"/>
      <c r="D859" s="110"/>
    </row>
    <row r="860">
      <c r="B860" s="110"/>
      <c r="D860" s="110"/>
    </row>
    <row r="861">
      <c r="B861" s="110"/>
      <c r="D861" s="110"/>
    </row>
    <row r="862">
      <c r="B862" s="110"/>
      <c r="D862" s="110"/>
    </row>
    <row r="863">
      <c r="B863" s="110"/>
      <c r="D863" s="110"/>
    </row>
    <row r="864">
      <c r="B864" s="110"/>
      <c r="D864" s="110"/>
    </row>
    <row r="865">
      <c r="B865" s="110"/>
      <c r="D865" s="110"/>
    </row>
    <row r="866">
      <c r="B866" s="110"/>
      <c r="D866" s="110"/>
    </row>
    <row r="867">
      <c r="B867" s="110"/>
      <c r="D867" s="110"/>
    </row>
    <row r="868">
      <c r="B868" s="110"/>
      <c r="D868" s="110"/>
    </row>
    <row r="869">
      <c r="B869" s="110"/>
      <c r="D869" s="110"/>
    </row>
    <row r="870">
      <c r="B870" s="110"/>
      <c r="D870" s="110"/>
    </row>
    <row r="871">
      <c r="B871" s="110"/>
      <c r="D871" s="110"/>
    </row>
    <row r="872">
      <c r="B872" s="110"/>
      <c r="D872" s="110"/>
    </row>
    <row r="873">
      <c r="B873" s="110"/>
      <c r="D873" s="110"/>
    </row>
    <row r="874">
      <c r="B874" s="110"/>
      <c r="D874" s="110"/>
    </row>
    <row r="875">
      <c r="B875" s="110"/>
      <c r="D875" s="110"/>
    </row>
    <row r="876">
      <c r="B876" s="110"/>
      <c r="D876" s="110"/>
    </row>
    <row r="877">
      <c r="B877" s="110"/>
      <c r="D877" s="110"/>
    </row>
    <row r="878">
      <c r="B878" s="110"/>
      <c r="D878" s="110"/>
    </row>
    <row r="879">
      <c r="B879" s="110"/>
      <c r="D879" s="110"/>
    </row>
    <row r="880">
      <c r="B880" s="110"/>
      <c r="D880" s="110"/>
    </row>
    <row r="881">
      <c r="B881" s="110"/>
      <c r="D881" s="110"/>
    </row>
    <row r="882">
      <c r="B882" s="110"/>
      <c r="D882" s="110"/>
    </row>
    <row r="883">
      <c r="B883" s="110"/>
      <c r="D883" s="110"/>
    </row>
    <row r="884">
      <c r="B884" s="110"/>
      <c r="D884" s="110"/>
    </row>
    <row r="885">
      <c r="B885" s="110"/>
      <c r="D885" s="110"/>
    </row>
    <row r="886">
      <c r="B886" s="110"/>
      <c r="D886" s="110"/>
    </row>
    <row r="887">
      <c r="B887" s="110"/>
      <c r="D887" s="110"/>
    </row>
    <row r="888">
      <c r="B888" s="110"/>
      <c r="D888" s="110"/>
    </row>
    <row r="889">
      <c r="B889" s="110"/>
      <c r="D889" s="110"/>
    </row>
    <row r="890">
      <c r="B890" s="110"/>
      <c r="D890" s="110"/>
    </row>
    <row r="891">
      <c r="B891" s="110"/>
      <c r="D891" s="110"/>
    </row>
    <row r="892">
      <c r="B892" s="110"/>
      <c r="D892" s="110"/>
    </row>
    <row r="893">
      <c r="B893" s="110"/>
      <c r="D893" s="110"/>
    </row>
    <row r="894">
      <c r="B894" s="110"/>
      <c r="D894" s="110"/>
    </row>
    <row r="895">
      <c r="B895" s="110"/>
      <c r="D895" s="110"/>
    </row>
    <row r="896">
      <c r="B896" s="110"/>
      <c r="D896" s="110"/>
    </row>
    <row r="897">
      <c r="B897" s="110"/>
      <c r="D897" s="110"/>
    </row>
    <row r="898">
      <c r="B898" s="110"/>
      <c r="D898" s="110"/>
    </row>
    <row r="899">
      <c r="B899" s="110"/>
      <c r="D899" s="110"/>
    </row>
    <row r="900">
      <c r="B900" s="110"/>
      <c r="D900" s="110"/>
    </row>
    <row r="901">
      <c r="B901" s="110"/>
      <c r="D901" s="110"/>
    </row>
    <row r="902">
      <c r="B902" s="110"/>
      <c r="D902" s="110"/>
    </row>
    <row r="903">
      <c r="B903" s="110"/>
      <c r="D903" s="110"/>
    </row>
    <row r="904">
      <c r="B904" s="110"/>
      <c r="D904" s="110"/>
    </row>
    <row r="905">
      <c r="B905" s="110"/>
      <c r="D905" s="110"/>
    </row>
    <row r="906">
      <c r="B906" s="110"/>
      <c r="D906" s="110"/>
    </row>
    <row r="907">
      <c r="B907" s="110"/>
      <c r="D907" s="110"/>
    </row>
    <row r="908">
      <c r="B908" s="110"/>
      <c r="D908" s="110"/>
    </row>
    <row r="909">
      <c r="B909" s="110"/>
      <c r="D909" s="110"/>
    </row>
    <row r="910">
      <c r="B910" s="110"/>
      <c r="D910" s="110"/>
    </row>
    <row r="911">
      <c r="B911" s="110"/>
      <c r="D911" s="110"/>
    </row>
    <row r="912">
      <c r="B912" s="110"/>
      <c r="D912" s="110"/>
    </row>
    <row r="913">
      <c r="B913" s="110"/>
      <c r="D913" s="110"/>
    </row>
    <row r="914">
      <c r="B914" s="110"/>
      <c r="D914" s="110"/>
    </row>
    <row r="915">
      <c r="B915" s="110"/>
      <c r="D915" s="110"/>
    </row>
    <row r="916">
      <c r="B916" s="110"/>
      <c r="D916" s="110"/>
    </row>
    <row r="917">
      <c r="B917" s="110"/>
      <c r="D917" s="110"/>
    </row>
    <row r="918">
      <c r="B918" s="110"/>
      <c r="D918" s="110"/>
    </row>
    <row r="919">
      <c r="B919" s="110"/>
      <c r="D919" s="110"/>
    </row>
    <row r="920">
      <c r="B920" s="110"/>
      <c r="D920" s="110"/>
    </row>
    <row r="921">
      <c r="B921" s="110"/>
      <c r="D921" s="110"/>
    </row>
    <row r="922">
      <c r="B922" s="110"/>
      <c r="D922" s="110"/>
    </row>
    <row r="923">
      <c r="B923" s="110"/>
      <c r="D923" s="110"/>
    </row>
    <row r="924">
      <c r="B924" s="110"/>
      <c r="D924" s="110"/>
    </row>
    <row r="925">
      <c r="B925" s="110"/>
      <c r="D925" s="110"/>
    </row>
    <row r="926">
      <c r="B926" s="110"/>
      <c r="D926" s="110"/>
    </row>
    <row r="927">
      <c r="B927" s="110"/>
      <c r="D927" s="110"/>
    </row>
    <row r="928">
      <c r="B928" s="110"/>
      <c r="D928" s="110"/>
    </row>
    <row r="929">
      <c r="B929" s="110"/>
      <c r="D929" s="110"/>
    </row>
    <row r="930">
      <c r="B930" s="110"/>
      <c r="D930" s="110"/>
    </row>
    <row r="931">
      <c r="B931" s="110"/>
      <c r="D931" s="110"/>
    </row>
    <row r="932">
      <c r="B932" s="110"/>
      <c r="D932" s="110"/>
    </row>
    <row r="933">
      <c r="B933" s="110"/>
      <c r="D933" s="110"/>
    </row>
    <row r="934">
      <c r="B934" s="110"/>
      <c r="D934" s="110"/>
    </row>
    <row r="935">
      <c r="B935" s="110"/>
      <c r="D935" s="110"/>
    </row>
    <row r="936">
      <c r="B936" s="110"/>
      <c r="D936" s="110"/>
    </row>
    <row r="937">
      <c r="B937" s="110"/>
      <c r="D937" s="110"/>
    </row>
    <row r="938">
      <c r="B938" s="110"/>
      <c r="D938" s="110"/>
    </row>
    <row r="939">
      <c r="B939" s="110"/>
      <c r="D939" s="110"/>
    </row>
    <row r="940">
      <c r="B940" s="110"/>
      <c r="D940" s="110"/>
    </row>
    <row r="941">
      <c r="B941" s="110"/>
      <c r="D941" s="110"/>
    </row>
    <row r="942">
      <c r="B942" s="110"/>
      <c r="D942" s="110"/>
    </row>
    <row r="943">
      <c r="B943" s="110"/>
      <c r="D943" s="110"/>
    </row>
    <row r="944">
      <c r="B944" s="110"/>
      <c r="D944" s="110"/>
    </row>
    <row r="945">
      <c r="B945" s="110"/>
      <c r="D945" s="110"/>
    </row>
    <row r="946">
      <c r="B946" s="110"/>
      <c r="D946" s="110"/>
    </row>
    <row r="947">
      <c r="B947" s="110"/>
      <c r="D947" s="110"/>
    </row>
    <row r="948">
      <c r="B948" s="110"/>
      <c r="D948" s="110"/>
    </row>
    <row r="949">
      <c r="B949" s="110"/>
      <c r="D949" s="110"/>
    </row>
    <row r="950">
      <c r="B950" s="110"/>
      <c r="D950" s="110"/>
    </row>
    <row r="951">
      <c r="B951" s="110"/>
      <c r="D951" s="110"/>
    </row>
    <row r="952">
      <c r="B952" s="110"/>
      <c r="D952" s="110"/>
    </row>
    <row r="953">
      <c r="B953" s="110"/>
      <c r="D953" s="110"/>
    </row>
    <row r="954">
      <c r="B954" s="110"/>
      <c r="D954" s="110"/>
    </row>
    <row r="955">
      <c r="B955" s="110"/>
      <c r="D955" s="110"/>
    </row>
    <row r="956">
      <c r="B956" s="110"/>
      <c r="D956" s="110"/>
    </row>
    <row r="957">
      <c r="B957" s="110"/>
      <c r="D957" s="110"/>
    </row>
    <row r="958">
      <c r="B958" s="110"/>
      <c r="D958" s="110"/>
    </row>
    <row r="959">
      <c r="B959" s="110"/>
      <c r="D959" s="110"/>
    </row>
    <row r="960">
      <c r="B960" s="110"/>
      <c r="D960" s="110"/>
    </row>
    <row r="961">
      <c r="B961" s="110"/>
      <c r="D961" s="110"/>
    </row>
    <row r="962">
      <c r="B962" s="110"/>
      <c r="D962" s="110"/>
    </row>
    <row r="963">
      <c r="B963" s="110"/>
      <c r="D963" s="110"/>
    </row>
    <row r="964">
      <c r="B964" s="110"/>
      <c r="D964" s="110"/>
    </row>
    <row r="965">
      <c r="B965" s="110"/>
      <c r="D965" s="110"/>
    </row>
    <row r="966">
      <c r="B966" s="110"/>
      <c r="D966" s="110"/>
    </row>
    <row r="967">
      <c r="B967" s="110"/>
      <c r="D967" s="110"/>
    </row>
    <row r="968">
      <c r="B968" s="110"/>
      <c r="D968" s="110"/>
    </row>
    <row r="969">
      <c r="B969" s="110"/>
      <c r="D969" s="110"/>
    </row>
    <row r="970">
      <c r="B970" s="110"/>
      <c r="D970" s="110"/>
    </row>
    <row r="971">
      <c r="B971" s="110"/>
      <c r="D971" s="110"/>
    </row>
    <row r="972">
      <c r="B972" s="110"/>
      <c r="D972" s="110"/>
    </row>
    <row r="973">
      <c r="B973" s="110"/>
      <c r="D973" s="110"/>
    </row>
    <row r="974">
      <c r="B974" s="110"/>
      <c r="D974" s="110"/>
    </row>
    <row r="975">
      <c r="B975" s="110"/>
      <c r="D975" s="110"/>
    </row>
    <row r="976">
      <c r="B976" s="110"/>
      <c r="D976" s="110"/>
    </row>
    <row r="977">
      <c r="B977" s="110"/>
      <c r="D977" s="110"/>
    </row>
    <row r="978">
      <c r="B978" s="110"/>
      <c r="D978" s="110"/>
    </row>
    <row r="979">
      <c r="B979" s="110"/>
      <c r="D979" s="110"/>
    </row>
    <row r="980">
      <c r="B980" s="110"/>
      <c r="D980" s="110"/>
    </row>
    <row r="981">
      <c r="B981" s="110"/>
      <c r="D981" s="110"/>
    </row>
    <row r="982">
      <c r="B982" s="110"/>
      <c r="D982" s="110"/>
    </row>
    <row r="983">
      <c r="B983" s="110"/>
      <c r="D983" s="110"/>
    </row>
    <row r="984">
      <c r="B984" s="110"/>
      <c r="D984" s="110"/>
    </row>
    <row r="985">
      <c r="B985" s="110"/>
      <c r="D985" s="110"/>
    </row>
    <row r="986">
      <c r="B986" s="110"/>
      <c r="D986" s="110"/>
    </row>
    <row r="987">
      <c r="B987" s="110"/>
      <c r="D987" s="110"/>
    </row>
    <row r="988">
      <c r="B988" s="110"/>
      <c r="D988" s="110"/>
    </row>
    <row r="989">
      <c r="B989" s="110"/>
      <c r="D989" s="110"/>
    </row>
    <row r="990">
      <c r="B990" s="110"/>
      <c r="D990" s="110"/>
    </row>
    <row r="991">
      <c r="B991" s="110"/>
      <c r="D991" s="110"/>
    </row>
    <row r="992">
      <c r="B992" s="110"/>
      <c r="D992" s="110"/>
    </row>
    <row r="993">
      <c r="B993" s="110"/>
      <c r="D993" s="110"/>
    </row>
    <row r="994">
      <c r="B994" s="110"/>
      <c r="D994" s="110"/>
    </row>
    <row r="995">
      <c r="B995" s="110"/>
      <c r="D995" s="110"/>
    </row>
    <row r="996">
      <c r="B996" s="110"/>
      <c r="D996" s="110"/>
    </row>
    <row r="997">
      <c r="B997" s="110"/>
      <c r="D997" s="110"/>
    </row>
    <row r="998">
      <c r="B998" s="110"/>
      <c r="D998" s="110"/>
    </row>
    <row r="999">
      <c r="B999" s="110"/>
      <c r="D999" s="110"/>
    </row>
    <row r="1000">
      <c r="B1000" s="110"/>
      <c r="D1000" s="110"/>
    </row>
    <row r="1001">
      <c r="B1001" s="110"/>
      <c r="D1001" s="110"/>
    </row>
    <row r="1002">
      <c r="B1002" s="110"/>
      <c r="D1002" s="110"/>
    </row>
    <row r="1003">
      <c r="B1003" s="110"/>
      <c r="D1003" s="110"/>
    </row>
    <row r="1004">
      <c r="B1004" s="110"/>
      <c r="D1004" s="110"/>
    </row>
    <row r="1005">
      <c r="B1005" s="110"/>
      <c r="D1005" s="110"/>
    </row>
  </sheetData>
  <conditionalFormatting sqref="F2">
    <cfRule type="cellIs" dxfId="8" priority="1" operator="lessThan">
      <formula>0</formula>
    </cfRule>
  </conditionalFormatting>
  <conditionalFormatting sqref="F2">
    <cfRule type="cellIs" dxfId="9" priority="2" operator="greaterThan">
      <formula>0</formula>
    </cfRule>
  </conditionalFormatting>
  <drawing r:id="rId4"/>
  <legacyDrawing r:id="rId5"/>
</worksheet>
</file>